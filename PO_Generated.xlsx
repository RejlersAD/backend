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jlerssverige.sharepoint.com/sites/TeamADProcurement/Delade dokument/General/General/RAD PO 2026/REGISTER_2026/"/>
    </mc:Choice>
  </mc:AlternateContent>
  <xr:revisionPtr revIDLastSave="499" documentId="13_ncr:1_{4BFFFB6B-053F-401B-A388-5ACD7E4828E4}" xr6:coauthVersionLast="47" xr6:coauthVersionMax="47" xr10:uidLastSave="{2F721F29-58CA-4FD5-AEB7-5F9B498B6A65}"/>
  <bookViews>
    <workbookView xWindow="-28920" yWindow="-120" windowWidth="29040" windowHeight="15720" xr2:uid="{00000000-000D-0000-FFFF-FFFF00000000}"/>
  </bookViews>
  <sheets>
    <sheet name="PUR_GEN_2026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3" l="1"/>
  <c r="N15" i="3"/>
  <c r="N13" i="3"/>
  <c r="N9" i="3"/>
</calcChain>
</file>

<file path=xl/sharedStrings.xml><?xml version="1.0" encoding="utf-8"?>
<sst xmlns="http://schemas.openxmlformats.org/spreadsheetml/2006/main" count="188" uniqueCount="134">
  <si>
    <t>PO REGISTER - GENERAL PO's   ( PUR_GEN) - 2026</t>
  </si>
  <si>
    <t xml:space="preserve">PO Number </t>
  </si>
  <si>
    <t xml:space="preserve">PR Number </t>
  </si>
  <si>
    <t xml:space="preserve">PR Accepted Date </t>
  </si>
  <si>
    <t>Suppl.Name</t>
  </si>
  <si>
    <t xml:space="preserve">Summary of Purchase </t>
  </si>
  <si>
    <t>Project short name/  Code</t>
  </si>
  <si>
    <t>Ord.Date</t>
  </si>
  <si>
    <t>OA date</t>
  </si>
  <si>
    <t>Delivery Date</t>
  </si>
  <si>
    <t>Payment terms</t>
  </si>
  <si>
    <t>Amount Curr.</t>
  </si>
  <si>
    <t>Curr.</t>
  </si>
  <si>
    <t>Amount including VAT</t>
  </si>
  <si>
    <t>Amount Inc VAT in AED</t>
  </si>
  <si>
    <t>Country</t>
  </si>
  <si>
    <t>Remarks</t>
  </si>
  <si>
    <t>RAD-GEN-PUR-0002_JAN2026</t>
  </si>
  <si>
    <t>RAD-GEN-PR-0002_2026</t>
  </si>
  <si>
    <t>12.01.2026</t>
  </si>
  <si>
    <t>City Computer Company LLC</t>
  </si>
  <si>
    <t xml:space="preserve">Team Viewer Remote Access  license, Annual Subscription Renewal 
</t>
  </si>
  <si>
    <t>Internal &amp; RIN </t>
  </si>
  <si>
    <t>07.02.2026</t>
  </si>
  <si>
    <t xml:space="preserve">30 days net upon receipt of license and invoice </t>
  </si>
  <si>
    <t>AED</t>
  </si>
  <si>
    <t>UAE</t>
  </si>
  <si>
    <r>
      <t>RAD-GEN-PUR-0003_JAN2026</t>
    </r>
    <r>
      <rPr>
        <i/>
        <sz val="10"/>
        <color rgb="FF2B3A55"/>
        <rFont val="Arial"/>
        <family val="2"/>
      </rPr>
      <t> </t>
    </r>
  </si>
  <si>
    <t>RAD-GEN-PR-0003_2026</t>
  </si>
  <si>
    <t xml:space="preserve">Majid Informatic Solutions - Sole Proprietorship LLC </t>
  </si>
  <si>
    <t xml:space="preserve">Supply of ICT items (Storage Hardware)  </t>
  </si>
  <si>
    <t xml:space="preserve"> RAD Internal</t>
  </si>
  <si>
    <t>20.01.2026 or earlier</t>
  </si>
  <si>
    <t xml:space="preserve">30days net upon delivery and invoice receipt </t>
  </si>
  <si>
    <r>
      <t>RAD-GEN-PUR-0004_FEB2026</t>
    </r>
    <r>
      <rPr>
        <i/>
        <sz val="10"/>
        <color rgb="FF2B3A55"/>
        <rFont val="Arial"/>
        <family val="2"/>
      </rPr>
      <t> </t>
    </r>
  </si>
  <si>
    <t>RAD-GEN-PR-0004_2026</t>
  </si>
  <si>
    <t>09.02.2026</t>
  </si>
  <si>
    <t>Rawabi Hydraulics and Mechanical Supply - L.L.C - O.P.C</t>
  </si>
  <si>
    <t>Supply of PPE items to Rejlers Abu Dhabi</t>
  </si>
  <si>
    <t>RAD Internal</t>
  </si>
  <si>
    <r>
      <rPr>
        <sz val="11"/>
        <color rgb="FF000000"/>
        <rFont val="Calibri"/>
        <family val="2"/>
        <scheme val="minor"/>
      </rPr>
      <t>RAD-GEN-PUR-0005_FEB2026</t>
    </r>
    <r>
      <rPr>
        <i/>
        <sz val="10"/>
        <color rgb="FF2B3A55"/>
        <rFont val="Arial"/>
        <family val="2"/>
      </rPr>
      <t> </t>
    </r>
  </si>
  <si>
    <t>RAD-GEN-PR-0005_2026</t>
  </si>
  <si>
    <t>11.02.2026</t>
  </si>
  <si>
    <t>UPS Replacement</t>
  </si>
  <si>
    <t>RAD INTERNAL</t>
  </si>
  <si>
    <t>18.02.2026 or earlier</t>
  </si>
  <si>
    <t>30 days net upon delivery and invoice receipt</t>
  </si>
  <si>
    <r>
      <rPr>
        <sz val="11"/>
        <color rgb="FF000000"/>
        <rFont val="Calibri"/>
        <family val="2"/>
        <scheme val="minor"/>
      </rPr>
      <t>RAD-GEN-PUR-0006_FEB2026</t>
    </r>
    <r>
      <rPr>
        <i/>
        <sz val="10"/>
        <color rgb="FF2B3A55"/>
        <rFont val="Arial"/>
        <family val="2"/>
      </rPr>
      <t> </t>
    </r>
  </si>
  <si>
    <t>RAD-GEN-PR-0006_2026</t>
  </si>
  <si>
    <t>13.02.2026</t>
  </si>
  <si>
    <t>Firewall Fortinet - License Subscription Renewal</t>
  </si>
  <si>
    <t>16.02.2026</t>
  </si>
  <si>
    <t>17.02.2026 or earlier</t>
  </si>
  <si>
    <r>
      <rPr>
        <sz val="11"/>
        <color rgb="FF000000"/>
        <rFont val="Calibri"/>
        <family val="2"/>
        <scheme val="minor"/>
      </rPr>
      <t>RAD-GEN-PUR-0007_FEB2026</t>
    </r>
    <r>
      <rPr>
        <i/>
        <sz val="10"/>
        <color rgb="FF2B3A55"/>
        <rFont val="Arial"/>
        <family val="2"/>
      </rPr>
      <t> </t>
    </r>
  </si>
  <si>
    <t>RAD-GEN-PR-0007_2026</t>
  </si>
  <si>
    <t>23.02.202</t>
  </si>
  <si>
    <t xml:space="preserve">For Aleksi (CFO) </t>
  </si>
  <si>
    <t>Legal advisory services according email 3.2.2026</t>
  </si>
  <si>
    <t>23.02.2026</t>
  </si>
  <si>
    <t>As agreed separately</t>
  </si>
  <si>
    <t>50% in February 2026
50% in March 2026</t>
  </si>
  <si>
    <t xml:space="preserve"> USD                  20.000</t>
  </si>
  <si>
    <t xml:space="preserve"> USD</t>
  </si>
  <si>
    <t>RAD-GEN-PUR-0008_MAR2026</t>
  </si>
  <si>
    <t>RAD-GEN-PR-0008_2026</t>
  </si>
  <si>
    <t>10.03.2026</t>
  </si>
  <si>
    <t>Majid Informatic Solutions</t>
  </si>
  <si>
    <t>Commvault licenses renewal</t>
  </si>
  <si>
    <t>12.03.2026</t>
  </si>
  <si>
    <t>15.03.2026 or earlier</t>
  </si>
  <si>
    <t>RAD-GEN-PUR-0010_MAR2026</t>
  </si>
  <si>
    <t>RAD-GEN-PR-0010_2026</t>
  </si>
  <si>
    <t>30.03.2026</t>
  </si>
  <si>
    <t>HPE Server HDD Replacement</t>
  </si>
  <si>
    <t>01.04.2026</t>
  </si>
  <si>
    <t>01.04.2026 or earlier</t>
  </si>
  <si>
    <t>No PO</t>
  </si>
  <si>
    <t>RAD-GEN-PR-0011_2026</t>
  </si>
  <si>
    <t>12.05.2026</t>
  </si>
  <si>
    <t>Dafoos</t>
  </si>
  <si>
    <t>work in IT room at 10th &amp; 13th Floor</t>
  </si>
  <si>
    <t>13.05.2026</t>
  </si>
  <si>
    <t>RAD-GEN-PUR-0011_MAY2026</t>
  </si>
  <si>
    <t>RAD-GEN-PR-0012_2026</t>
  </si>
  <si>
    <t>Noveltech</t>
  </si>
  <si>
    <t>Agency Certification Expenses</t>
  </si>
  <si>
    <t xml:space="preserve">RAD Internal </t>
  </si>
  <si>
    <t>14.05.2026</t>
  </si>
  <si>
    <t>45 days net</t>
  </si>
  <si>
    <t>RAD-GEN-PUR-0012_MAY2026</t>
  </si>
  <si>
    <t>RAD-GEN-PR-0013_2026</t>
  </si>
  <si>
    <t>21.05.2026</t>
  </si>
  <si>
    <t>Noveltech / Kushi</t>
  </si>
  <si>
    <t>Supply &amp; Support of Oracle Database &amp; RAC Licenses</t>
  </si>
  <si>
    <t>01.06.2026</t>
  </si>
  <si>
    <t>60 days net upon delivery and invoice recdeipt</t>
  </si>
  <si>
    <t>USD</t>
  </si>
  <si>
    <t>RAD-GEN-PUR-0013_JUN2026</t>
  </si>
  <si>
    <t>RAD-GEN-PR-0014_2026</t>
  </si>
  <si>
    <t>27.05.2026</t>
  </si>
  <si>
    <t>ALPHA DATA</t>
  </si>
  <si>
    <t>Supply &amp; Services for RAD Infrastructure
 Upgradation Project</t>
  </si>
  <si>
    <t>08.06.2026</t>
  </si>
  <si>
    <t>31.09.2026</t>
  </si>
  <si>
    <t xml:space="preserve">45days net upon delivery and invoice receipt </t>
  </si>
  <si>
    <t>RAD-GEN-PUR-0014_JUN2026</t>
  </si>
  <si>
    <t>RAD-GEN-PR-0015_2026</t>
  </si>
  <si>
    <t>07.05.2026</t>
  </si>
  <si>
    <t>LEEDS</t>
  </si>
  <si>
    <t xml:space="preserve">Cleaner Deployment (1 Male + 1 Female) for 7 months  at Rejlers Abu Dhabi Office    </t>
  </si>
  <si>
    <t>01.07.2026</t>
  </si>
  <si>
    <t>11.05.2026 to 30.11.2026</t>
  </si>
  <si>
    <t>30days net from invoice receipt</t>
  </si>
  <si>
    <t>RAD-GEN-PUR-0015_JUN2026</t>
  </si>
  <si>
    <t>RAD-GEN-PR-0016_2026</t>
  </si>
  <si>
    <t>05.06.2026</t>
  </si>
  <si>
    <t>ORIENT MANAGEMENT CONSULTING &amp; TRAINING LLC (Orient MCT)</t>
  </si>
  <si>
    <t>Basic First Aid &amp; Fire Warden Training</t>
  </si>
  <si>
    <t>30days net from completion and invoice 
receipt</t>
  </si>
  <si>
    <t>RAD-GEN-PUR-0016_ JUL2026</t>
  </si>
  <si>
    <t>RAD-GEN-PR-0017_2026</t>
  </si>
  <si>
    <t>06.07.2026</t>
  </si>
  <si>
    <t>Provision for Manpower Services
1Pax Structural Engineer to RAD</t>
  </si>
  <si>
    <t>20.05.2026</t>
  </si>
  <si>
    <t>Immediate, 100% against mobilization</t>
  </si>
  <si>
    <t>RAD-GEN-PUR-0009_MAR2026</t>
  </si>
  <si>
    <t>RAD-GEN-PR-0009_2026</t>
  </si>
  <si>
    <t>16.03.2026</t>
  </si>
  <si>
    <t xml:space="preserve">Info Edge (India) </t>
  </si>
  <si>
    <t>Renewal of Online Recruitment Services
 1 year Subscription</t>
  </si>
  <si>
    <t>17.03.2026</t>
  </si>
  <si>
    <t xml:space="preserve">16.03.2026 </t>
  </si>
  <si>
    <t xml:space="preserve">100% Advance upon receipt of proforma Invoice </t>
  </si>
  <si>
    <t>UAE/India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</si>
</sst>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ED]\ * #,##0.00_);_([$AED]\ * \(#,##0.00\);_([$AED]\ * &quot;-&quot;??_);_(@_)"/>
    <numFmt numFmtId="165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0"/>
      <color rgb="FF2B3A55"/>
      <name val="Arial"/>
      <family val="2"/>
    </font>
    <font>
      <sz val="10"/>
      <color rgb="FF2B3A55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164" fontId="4" fillId="0" borderId="1" xfId="1" applyNumberFormat="1" applyFont="1" applyBorder="1" applyAlignment="1">
      <alignment vertical="center"/>
    </xf>
    <xf numFmtId="43" fontId="4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4" fontId="0" fillId="0" borderId="1" xfId="0" applyNumberFormat="1" applyBorder="1"/>
    <xf numFmtId="43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0" fillId="0" borderId="0" xfId="0" applyAlignment="1">
      <alignment horizontal="center"/>
    </xf>
    <xf numFmtId="44" fontId="0" fillId="0" borderId="1" xfId="2" applyFont="1" applyBorder="1"/>
    <xf numFmtId="44" fontId="0" fillId="0" borderId="1" xfId="0" applyNumberFormat="1" applyBorder="1"/>
    <xf numFmtId="0" fontId="1" fillId="2" borderId="0" xfId="0" applyFont="1" applyFill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1B82-34DC-409F-A8A3-58A153047121}">
  <dimension ref="A1:P47"/>
  <sheetViews>
    <sheetView tabSelected="1" zoomScale="80" zoomScaleNormal="80" workbookViewId="0">
      <selection activeCell="D23" sqref="D23"/>
    </sheetView>
  </sheetViews>
  <sheetFormatPr defaultRowHeight="14.5" x14ac:dyDescent="0.35"/>
  <cols>
    <col min="1" max="1" width="30.7265625" customWidth="1"/>
    <col min="2" max="2" width="26.81640625" customWidth="1"/>
    <col min="3" max="3" width="21.81640625" style="25" customWidth="1"/>
    <col min="4" max="4" width="48.453125" customWidth="1"/>
    <col min="5" max="5" width="37.1796875" bestFit="1" customWidth="1"/>
    <col min="6" max="6" width="24.54296875" bestFit="1" customWidth="1"/>
    <col min="7" max="7" width="17.81640625" customWidth="1"/>
    <col min="8" max="8" width="21.81640625" customWidth="1"/>
    <col min="9" max="9" width="23.1796875" style="25" customWidth="1"/>
    <col min="10" max="10" width="45.81640625" customWidth="1"/>
    <col min="11" max="16" width="21.81640625" customWidth="1"/>
  </cols>
  <sheetData>
    <row r="1" spans="1:16" s="1" customFormat="1" ht="28.5" customHeight="1" x14ac:dyDescent="0.3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3" spans="1:16" s="4" customFormat="1" ht="23.15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1:16" x14ac:dyDescent="0.35">
      <c r="A4" s="5"/>
      <c r="B4" s="7"/>
      <c r="C4" s="6"/>
      <c r="D4" s="5"/>
      <c r="E4" s="5"/>
      <c r="F4" s="6"/>
      <c r="G4" s="8"/>
      <c r="H4" s="5"/>
      <c r="I4" s="6"/>
      <c r="J4" s="5"/>
      <c r="K4" s="5"/>
      <c r="L4" s="5"/>
      <c r="M4" s="5"/>
      <c r="N4" s="5"/>
      <c r="O4" s="5"/>
      <c r="P4" s="5"/>
    </row>
    <row r="5" spans="1:16" ht="44.25" customHeight="1" x14ac:dyDescent="0.35">
      <c r="A5" s="12" t="s">
        <v>17</v>
      </c>
      <c r="B5" s="13" t="s">
        <v>18</v>
      </c>
      <c r="C5" s="11" t="s">
        <v>19</v>
      </c>
      <c r="D5" s="14" t="s">
        <v>20</v>
      </c>
      <c r="E5" s="15" t="s">
        <v>21</v>
      </c>
      <c r="F5" s="11" t="s">
        <v>22</v>
      </c>
      <c r="G5" s="11" t="s">
        <v>19</v>
      </c>
      <c r="H5" s="9"/>
      <c r="I5" s="11" t="s">
        <v>23</v>
      </c>
      <c r="J5" s="9" t="s">
        <v>24</v>
      </c>
      <c r="K5" s="16">
        <v>6600</v>
      </c>
      <c r="L5" s="17" t="s">
        <v>25</v>
      </c>
      <c r="M5" s="16">
        <v>6930</v>
      </c>
      <c r="N5" s="18">
        <v>6930</v>
      </c>
      <c r="O5" s="11" t="s">
        <v>26</v>
      </c>
      <c r="P5" s="9"/>
    </row>
    <row r="6" spans="1:16" ht="25.5" customHeight="1" x14ac:dyDescent="0.35">
      <c r="A6" s="9" t="s">
        <v>27</v>
      </c>
      <c r="B6" s="13" t="s">
        <v>28</v>
      </c>
      <c r="C6" s="11" t="s">
        <v>19</v>
      </c>
      <c r="D6" s="9" t="s">
        <v>29</v>
      </c>
      <c r="E6" s="9" t="s">
        <v>30</v>
      </c>
      <c r="F6" s="11" t="s">
        <v>31</v>
      </c>
      <c r="G6" s="11" t="s">
        <v>19</v>
      </c>
      <c r="H6" s="9"/>
      <c r="I6" s="11" t="s">
        <v>32</v>
      </c>
      <c r="J6" s="9" t="s">
        <v>33</v>
      </c>
      <c r="K6" s="16">
        <v>19380</v>
      </c>
      <c r="L6" s="11" t="s">
        <v>25</v>
      </c>
      <c r="M6" s="16">
        <v>20349</v>
      </c>
      <c r="N6" s="18">
        <v>20349</v>
      </c>
      <c r="O6" s="11" t="s">
        <v>26</v>
      </c>
      <c r="P6" s="9"/>
    </row>
    <row r="7" spans="1:16" ht="30.75" customHeight="1" x14ac:dyDescent="0.35">
      <c r="A7" s="12" t="s">
        <v>34</v>
      </c>
      <c r="B7" s="14" t="s">
        <v>35</v>
      </c>
      <c r="C7" s="11" t="s">
        <v>36</v>
      </c>
      <c r="D7" s="15" t="s">
        <v>37</v>
      </c>
      <c r="E7" s="9" t="s">
        <v>38</v>
      </c>
      <c r="F7" s="11" t="s">
        <v>39</v>
      </c>
      <c r="G7" s="11"/>
      <c r="H7" s="9"/>
      <c r="I7" s="11"/>
      <c r="J7" s="9"/>
      <c r="K7" s="16"/>
      <c r="L7" s="11"/>
      <c r="M7" s="16"/>
      <c r="N7" s="18"/>
      <c r="O7" s="11"/>
      <c r="P7" s="9"/>
    </row>
    <row r="8" spans="1:16" ht="27" customHeight="1" x14ac:dyDescent="0.35">
      <c r="A8" s="9" t="s">
        <v>40</v>
      </c>
      <c r="B8" s="13" t="s">
        <v>41</v>
      </c>
      <c r="C8" s="11" t="s">
        <v>42</v>
      </c>
      <c r="D8" s="9" t="s">
        <v>29</v>
      </c>
      <c r="E8" s="9" t="s">
        <v>43</v>
      </c>
      <c r="F8" s="11" t="s">
        <v>44</v>
      </c>
      <c r="G8" s="11" t="s">
        <v>19</v>
      </c>
      <c r="H8" s="9"/>
      <c r="I8" s="11" t="s">
        <v>45</v>
      </c>
      <c r="J8" s="9" t="s">
        <v>46</v>
      </c>
      <c r="K8" s="19">
        <v>9520</v>
      </c>
      <c r="L8" s="11" t="s">
        <v>25</v>
      </c>
      <c r="M8" s="19">
        <v>9996</v>
      </c>
      <c r="N8" s="20">
        <v>9996</v>
      </c>
      <c r="O8" s="11" t="s">
        <v>26</v>
      </c>
      <c r="P8" s="9"/>
    </row>
    <row r="9" spans="1:16" ht="29" x14ac:dyDescent="0.35">
      <c r="A9" s="9" t="s">
        <v>47</v>
      </c>
      <c r="B9" s="13" t="s">
        <v>48</v>
      </c>
      <c r="C9" s="11" t="s">
        <v>49</v>
      </c>
      <c r="D9" s="9" t="s">
        <v>29</v>
      </c>
      <c r="E9" s="15" t="s">
        <v>50</v>
      </c>
      <c r="F9" s="11" t="s">
        <v>39</v>
      </c>
      <c r="G9" s="11" t="s">
        <v>51</v>
      </c>
      <c r="H9" s="2"/>
      <c r="I9" s="11" t="s">
        <v>52</v>
      </c>
      <c r="J9" s="9" t="s">
        <v>46</v>
      </c>
      <c r="K9" s="21">
        <v>1315</v>
      </c>
      <c r="L9" s="11" t="s">
        <v>25</v>
      </c>
      <c r="M9" s="21">
        <v>1380.75</v>
      </c>
      <c r="N9" s="22">
        <f>M9</f>
        <v>1380.75</v>
      </c>
      <c r="O9" s="11" t="s">
        <v>26</v>
      </c>
      <c r="P9" s="2"/>
    </row>
    <row r="10" spans="1:16" ht="29" x14ac:dyDescent="0.35">
      <c r="A10" s="9" t="s">
        <v>53</v>
      </c>
      <c r="B10" s="13" t="s">
        <v>54</v>
      </c>
      <c r="C10" s="11" t="s">
        <v>55</v>
      </c>
      <c r="D10" s="2" t="s">
        <v>56</v>
      </c>
      <c r="E10" s="23" t="s">
        <v>57</v>
      </c>
      <c r="F10" s="10" t="s">
        <v>39</v>
      </c>
      <c r="G10" s="11" t="s">
        <v>58</v>
      </c>
      <c r="H10" s="2"/>
      <c r="I10" s="10" t="s">
        <v>59</v>
      </c>
      <c r="J10" s="23" t="s">
        <v>60</v>
      </c>
      <c r="K10" s="24" t="s">
        <v>61</v>
      </c>
      <c r="L10" s="10" t="s">
        <v>62</v>
      </c>
      <c r="M10" s="24" t="s">
        <v>61</v>
      </c>
      <c r="N10" s="2">
        <v>73400</v>
      </c>
      <c r="O10" s="10" t="s">
        <v>26</v>
      </c>
      <c r="P10" s="2"/>
    </row>
    <row r="11" spans="1:16" ht="19.5" customHeight="1" x14ac:dyDescent="0.35">
      <c r="A11" s="9" t="s">
        <v>63</v>
      </c>
      <c r="B11" s="9" t="s">
        <v>64</v>
      </c>
      <c r="C11" s="11" t="s">
        <v>65</v>
      </c>
      <c r="D11" s="2" t="s">
        <v>66</v>
      </c>
      <c r="E11" s="2" t="s">
        <v>67</v>
      </c>
      <c r="F11" s="10" t="s">
        <v>39</v>
      </c>
      <c r="G11" s="11" t="s">
        <v>68</v>
      </c>
      <c r="H11" s="2"/>
      <c r="I11" s="10" t="s">
        <v>69</v>
      </c>
      <c r="J11" s="2" t="s">
        <v>46</v>
      </c>
      <c r="K11" s="21">
        <v>23420</v>
      </c>
      <c r="L11" s="10" t="s">
        <v>25</v>
      </c>
      <c r="M11" s="21">
        <v>24591</v>
      </c>
      <c r="N11" s="21">
        <v>24591</v>
      </c>
      <c r="O11" s="10" t="s">
        <v>26</v>
      </c>
      <c r="P11" s="2"/>
    </row>
    <row r="12" spans="1:16" ht="29" x14ac:dyDescent="0.35">
      <c r="A12" s="9" t="s">
        <v>125</v>
      </c>
      <c r="B12" s="9" t="s">
        <v>126</v>
      </c>
      <c r="C12" s="11" t="s">
        <v>127</v>
      </c>
      <c r="D12" s="2" t="s">
        <v>128</v>
      </c>
      <c r="E12" s="23" t="s">
        <v>129</v>
      </c>
      <c r="F12" s="10" t="s">
        <v>39</v>
      </c>
      <c r="G12" s="11" t="s">
        <v>130</v>
      </c>
      <c r="H12" s="2"/>
      <c r="I12" s="10" t="s">
        <v>131</v>
      </c>
      <c r="J12" s="2" t="s">
        <v>132</v>
      </c>
      <c r="K12" s="21">
        <v>25500</v>
      </c>
      <c r="L12" s="10" t="s">
        <v>25</v>
      </c>
      <c r="M12" s="21">
        <v>26775</v>
      </c>
      <c r="N12" s="21">
        <v>26775</v>
      </c>
      <c r="O12" s="10" t="s">
        <v>133</v>
      </c>
      <c r="P12" s="2"/>
    </row>
    <row r="13" spans="1:16" ht="20.25" customHeight="1" x14ac:dyDescent="0.35">
      <c r="A13" s="9" t="s">
        <v>70</v>
      </c>
      <c r="B13" s="9" t="s">
        <v>71</v>
      </c>
      <c r="C13" s="11" t="s">
        <v>72</v>
      </c>
      <c r="D13" s="2" t="s">
        <v>66</v>
      </c>
      <c r="E13" s="2" t="s">
        <v>73</v>
      </c>
      <c r="F13" s="10" t="s">
        <v>39</v>
      </c>
      <c r="G13" s="11" t="s">
        <v>74</v>
      </c>
      <c r="H13" s="2"/>
      <c r="I13" s="10" t="s">
        <v>75</v>
      </c>
      <c r="J13" s="2" t="s">
        <v>46</v>
      </c>
      <c r="K13" s="21">
        <v>900</v>
      </c>
      <c r="L13" s="10" t="s">
        <v>25</v>
      </c>
      <c r="M13" s="21">
        <v>945</v>
      </c>
      <c r="N13" s="21">
        <f>M13</f>
        <v>945</v>
      </c>
      <c r="O13" s="10" t="s">
        <v>26</v>
      </c>
      <c r="P13" s="2"/>
    </row>
    <row r="14" spans="1:16" ht="20.25" customHeight="1" x14ac:dyDescent="0.35">
      <c r="A14" s="9" t="s">
        <v>76</v>
      </c>
      <c r="B14" s="9" t="s">
        <v>77</v>
      </c>
      <c r="C14" s="11" t="s">
        <v>78</v>
      </c>
      <c r="D14" s="2" t="s">
        <v>79</v>
      </c>
      <c r="E14" s="2" t="s">
        <v>80</v>
      </c>
      <c r="F14" s="10" t="s">
        <v>39</v>
      </c>
      <c r="G14" s="11" t="s">
        <v>81</v>
      </c>
      <c r="H14" s="2"/>
      <c r="I14" s="10"/>
      <c r="J14" s="2"/>
      <c r="K14" s="21">
        <v>4750</v>
      </c>
      <c r="L14" s="10" t="s">
        <v>25</v>
      </c>
      <c r="M14" s="21">
        <v>4987.5</v>
      </c>
      <c r="N14" s="21">
        <v>4987.5</v>
      </c>
      <c r="O14" s="10" t="s">
        <v>26</v>
      </c>
      <c r="P14" s="2"/>
    </row>
    <row r="15" spans="1:16" ht="21" customHeight="1" x14ac:dyDescent="0.35">
      <c r="A15" s="2" t="s">
        <v>82</v>
      </c>
      <c r="B15" s="2" t="s">
        <v>83</v>
      </c>
      <c r="C15" s="10" t="s">
        <v>81</v>
      </c>
      <c r="D15" s="2" t="s">
        <v>84</v>
      </c>
      <c r="E15" s="2" t="s">
        <v>85</v>
      </c>
      <c r="F15" s="10" t="s">
        <v>86</v>
      </c>
      <c r="G15" s="11" t="s">
        <v>87</v>
      </c>
      <c r="H15" s="2"/>
      <c r="I15" s="10" t="s">
        <v>81</v>
      </c>
      <c r="J15" s="2" t="s">
        <v>88</v>
      </c>
      <c r="K15" s="21">
        <v>6000</v>
      </c>
      <c r="L15" s="10" t="s">
        <v>25</v>
      </c>
      <c r="M15" s="21">
        <v>6300</v>
      </c>
      <c r="N15" s="21">
        <f>M15</f>
        <v>6300</v>
      </c>
      <c r="O15" s="10" t="s">
        <v>26</v>
      </c>
      <c r="P15" s="2"/>
    </row>
    <row r="16" spans="1:16" ht="29" x14ac:dyDescent="0.35">
      <c r="A16" s="2" t="s">
        <v>89</v>
      </c>
      <c r="B16" s="2" t="s">
        <v>90</v>
      </c>
      <c r="C16" s="10" t="s">
        <v>91</v>
      </c>
      <c r="D16" s="2" t="s">
        <v>92</v>
      </c>
      <c r="E16" s="15" t="s">
        <v>93</v>
      </c>
      <c r="F16" s="10" t="s">
        <v>86</v>
      </c>
      <c r="G16" s="11" t="s">
        <v>91</v>
      </c>
      <c r="H16" s="2"/>
      <c r="I16" s="10" t="s">
        <v>94</v>
      </c>
      <c r="J16" s="2" t="s">
        <v>95</v>
      </c>
      <c r="K16" s="26">
        <v>90197.7</v>
      </c>
      <c r="L16" s="10" t="s">
        <v>96</v>
      </c>
      <c r="M16" s="26">
        <v>94707.58</v>
      </c>
      <c r="N16" s="27">
        <f>M16*3.67</f>
        <v>347576.8186</v>
      </c>
      <c r="O16" s="10" t="s">
        <v>26</v>
      </c>
      <c r="P16" s="2"/>
    </row>
    <row r="17" spans="1:16" ht="29" x14ac:dyDescent="0.35">
      <c r="A17" s="2" t="s">
        <v>97</v>
      </c>
      <c r="B17" s="2" t="s">
        <v>98</v>
      </c>
      <c r="C17" s="10" t="s">
        <v>99</v>
      </c>
      <c r="D17" s="2" t="s">
        <v>100</v>
      </c>
      <c r="E17" s="23" t="s">
        <v>101</v>
      </c>
      <c r="F17" s="10" t="s">
        <v>86</v>
      </c>
      <c r="G17" s="11" t="s">
        <v>102</v>
      </c>
      <c r="H17" s="2"/>
      <c r="I17" s="10" t="s">
        <v>103</v>
      </c>
      <c r="J17" s="2" t="s">
        <v>104</v>
      </c>
      <c r="K17" s="21">
        <v>2065187</v>
      </c>
      <c r="L17" s="10" t="s">
        <v>25</v>
      </c>
      <c r="M17" s="21">
        <v>2168446.35</v>
      </c>
      <c r="N17" s="21">
        <v>2168446.35</v>
      </c>
      <c r="O17" s="10" t="s">
        <v>26</v>
      </c>
      <c r="P17" s="2"/>
    </row>
    <row r="18" spans="1:16" ht="29" x14ac:dyDescent="0.35">
      <c r="A18" s="2" t="s">
        <v>105</v>
      </c>
      <c r="B18" s="2" t="s">
        <v>106</v>
      </c>
      <c r="C18" s="10" t="s">
        <v>107</v>
      </c>
      <c r="D18" s="2" t="s">
        <v>108</v>
      </c>
      <c r="E18" s="23" t="s">
        <v>109</v>
      </c>
      <c r="F18" s="10" t="s">
        <v>86</v>
      </c>
      <c r="G18" s="11" t="s">
        <v>110</v>
      </c>
      <c r="H18" s="2"/>
      <c r="I18" s="10" t="s">
        <v>111</v>
      </c>
      <c r="J18" s="2" t="s">
        <v>112</v>
      </c>
      <c r="K18" s="21">
        <v>41400</v>
      </c>
      <c r="L18" s="10" t="s">
        <v>25</v>
      </c>
      <c r="M18" s="21">
        <v>43470</v>
      </c>
      <c r="N18" s="21">
        <v>43470</v>
      </c>
      <c r="O18" s="10" t="s">
        <v>26</v>
      </c>
      <c r="P18" s="2"/>
    </row>
    <row r="19" spans="1:16" ht="29" x14ac:dyDescent="0.35">
      <c r="A19" s="2" t="s">
        <v>113</v>
      </c>
      <c r="B19" s="2" t="s">
        <v>114</v>
      </c>
      <c r="C19" s="10" t="s">
        <v>115</v>
      </c>
      <c r="D19" s="23" t="s">
        <v>116</v>
      </c>
      <c r="E19" s="2" t="s">
        <v>117</v>
      </c>
      <c r="F19" s="10" t="s">
        <v>86</v>
      </c>
      <c r="G19" s="10" t="s">
        <v>115</v>
      </c>
      <c r="H19" s="2"/>
      <c r="I19" s="10" t="s">
        <v>102</v>
      </c>
      <c r="J19" s="23" t="s">
        <v>118</v>
      </c>
      <c r="K19" s="21">
        <v>2140</v>
      </c>
      <c r="L19" s="10" t="s">
        <v>25</v>
      </c>
      <c r="M19" s="21">
        <v>2247</v>
      </c>
      <c r="N19" s="21">
        <v>2247</v>
      </c>
      <c r="O19" s="10" t="s">
        <v>26</v>
      </c>
      <c r="P19" s="2"/>
    </row>
    <row r="20" spans="1:16" ht="29" x14ac:dyDescent="0.35">
      <c r="A20" s="2" t="s">
        <v>119</v>
      </c>
      <c r="B20" s="2" t="s">
        <v>120</v>
      </c>
      <c r="C20" s="10" t="s">
        <v>121</v>
      </c>
      <c r="D20" s="2" t="s">
        <v>84</v>
      </c>
      <c r="E20" s="23" t="s">
        <v>122</v>
      </c>
      <c r="F20" s="10" t="s">
        <v>86</v>
      </c>
      <c r="G20" s="10" t="s">
        <v>121</v>
      </c>
      <c r="H20" s="2"/>
      <c r="I20" s="10" t="s">
        <v>123</v>
      </c>
      <c r="J20" s="2" t="s">
        <v>124</v>
      </c>
      <c r="K20" s="21">
        <v>5005.8</v>
      </c>
      <c r="L20" s="10" t="s">
        <v>25</v>
      </c>
      <c r="M20" s="21">
        <v>5256.09</v>
      </c>
      <c r="N20" s="21">
        <v>5256.09</v>
      </c>
      <c r="O20" s="10" t="s">
        <v>26</v>
      </c>
      <c r="P20" s="2"/>
    </row>
    <row r="21" spans="1:16" x14ac:dyDescent="0.35">
      <c r="A21" s="2"/>
      <c r="B21" s="2"/>
      <c r="C21" s="10"/>
      <c r="D21" s="2"/>
      <c r="E21" s="2"/>
      <c r="F21" s="10"/>
      <c r="G21" s="2"/>
      <c r="H21" s="2"/>
      <c r="I21" s="10"/>
      <c r="J21" s="2"/>
      <c r="K21" s="2"/>
      <c r="L21" s="10"/>
      <c r="M21" s="2"/>
      <c r="N21" s="2"/>
      <c r="O21" s="2"/>
      <c r="P21" s="2"/>
    </row>
    <row r="22" spans="1:16" x14ac:dyDescent="0.35">
      <c r="A22" s="2"/>
      <c r="B22" s="2"/>
      <c r="C22" s="10"/>
      <c r="D22" s="2"/>
      <c r="E22" s="2"/>
      <c r="F22" s="10"/>
      <c r="G22" s="2"/>
      <c r="H22" s="2"/>
      <c r="I22" s="10"/>
      <c r="J22" s="2"/>
      <c r="K22" s="2"/>
      <c r="L22" s="10"/>
      <c r="M22" s="2"/>
      <c r="N22" s="2"/>
      <c r="O22" s="2"/>
      <c r="P22" s="2"/>
    </row>
    <row r="23" spans="1:16" x14ac:dyDescent="0.35">
      <c r="A23" s="2"/>
      <c r="B23" s="2"/>
      <c r="C23" s="10"/>
      <c r="D23" s="2"/>
      <c r="E23" s="2"/>
      <c r="F23" s="10"/>
      <c r="G23" s="2"/>
      <c r="H23" s="2"/>
      <c r="I23" s="10"/>
      <c r="J23" s="2"/>
      <c r="K23" s="2"/>
      <c r="L23" s="10"/>
      <c r="M23" s="2"/>
      <c r="N23" s="2"/>
      <c r="O23" s="2"/>
      <c r="P23" s="2"/>
    </row>
    <row r="24" spans="1:16" x14ac:dyDescent="0.35">
      <c r="A24" s="2"/>
      <c r="B24" s="2"/>
      <c r="C24" s="10"/>
      <c r="D24" s="2"/>
      <c r="E24" s="2"/>
      <c r="F24" s="10"/>
      <c r="G24" s="2"/>
      <c r="H24" s="2"/>
      <c r="I24" s="10"/>
      <c r="J24" s="2"/>
      <c r="K24" s="2"/>
      <c r="L24" s="10"/>
      <c r="M24" s="2"/>
      <c r="N24" s="2"/>
      <c r="O24" s="2"/>
      <c r="P24" s="2"/>
    </row>
    <row r="25" spans="1:16" x14ac:dyDescent="0.35">
      <c r="A25" s="2"/>
      <c r="B25" s="2"/>
      <c r="C25" s="10"/>
      <c r="D25" s="2"/>
      <c r="E25" s="2"/>
      <c r="F25" s="2"/>
      <c r="G25" s="2"/>
      <c r="H25" s="2"/>
      <c r="I25" s="10"/>
      <c r="J25" s="2"/>
      <c r="K25" s="2"/>
      <c r="L25" s="10"/>
      <c r="M25" s="2"/>
      <c r="N25" s="2"/>
      <c r="O25" s="2"/>
      <c r="P25" s="2"/>
    </row>
    <row r="26" spans="1:16" x14ac:dyDescent="0.35">
      <c r="A26" s="2"/>
      <c r="B26" s="2"/>
      <c r="C26" s="10"/>
      <c r="D26" s="2"/>
      <c r="E26" s="2"/>
      <c r="F26" s="2"/>
      <c r="G26" s="2"/>
      <c r="H26" s="2"/>
      <c r="I26" s="10"/>
      <c r="J26" s="2"/>
      <c r="K26" s="2"/>
      <c r="L26" s="10"/>
      <c r="M26" s="2"/>
      <c r="N26" s="2"/>
      <c r="O26" s="2"/>
      <c r="P26" s="2"/>
    </row>
    <row r="27" spans="1:16" x14ac:dyDescent="0.35">
      <c r="A27" s="2"/>
      <c r="B27" s="2"/>
      <c r="C27" s="10"/>
      <c r="D27" s="2"/>
      <c r="E27" s="2"/>
      <c r="F27" s="2"/>
      <c r="G27" s="2"/>
      <c r="H27" s="2"/>
      <c r="I27" s="10"/>
      <c r="J27" s="2"/>
      <c r="K27" s="2"/>
      <c r="L27" s="2"/>
      <c r="M27" s="2"/>
      <c r="N27" s="2"/>
      <c r="O27" s="2"/>
      <c r="P27" s="2"/>
    </row>
    <row r="28" spans="1:16" x14ac:dyDescent="0.35">
      <c r="A28" s="2"/>
      <c r="B28" s="2"/>
      <c r="C28" s="10"/>
      <c r="D28" s="2"/>
      <c r="E28" s="2"/>
      <c r="F28" s="2"/>
      <c r="G28" s="2"/>
      <c r="H28" s="2"/>
      <c r="I28" s="10"/>
      <c r="J28" s="2"/>
      <c r="K28" s="2"/>
      <c r="L28" s="2"/>
      <c r="M28" s="2"/>
      <c r="N28" s="2"/>
      <c r="O28" s="2"/>
      <c r="P28" s="2"/>
    </row>
    <row r="29" spans="1:16" x14ac:dyDescent="0.35">
      <c r="A29" s="2"/>
      <c r="B29" s="2"/>
      <c r="C29" s="10"/>
      <c r="D29" s="2"/>
      <c r="E29" s="2"/>
      <c r="F29" s="2"/>
      <c r="G29" s="2"/>
      <c r="H29" s="2"/>
      <c r="I29" s="10"/>
      <c r="J29" s="2"/>
      <c r="K29" s="2"/>
      <c r="L29" s="2"/>
      <c r="M29" s="2"/>
      <c r="N29" s="2"/>
      <c r="O29" s="2"/>
      <c r="P29" s="2"/>
    </row>
    <row r="30" spans="1:16" x14ac:dyDescent="0.35">
      <c r="A30" s="2"/>
      <c r="B30" s="2"/>
      <c r="C30" s="10"/>
      <c r="D30" s="2"/>
      <c r="E30" s="2"/>
      <c r="F30" s="2"/>
      <c r="G30" s="2"/>
      <c r="H30" s="2"/>
      <c r="I30" s="10"/>
      <c r="J30" s="2"/>
      <c r="K30" s="2"/>
      <c r="L30" s="2"/>
      <c r="M30" s="2"/>
      <c r="N30" s="2"/>
      <c r="O30" s="2"/>
      <c r="P30" s="2"/>
    </row>
    <row r="31" spans="1:16" x14ac:dyDescent="0.35">
      <c r="A31" s="2"/>
      <c r="B31" s="2"/>
      <c r="C31" s="10"/>
      <c r="D31" s="2"/>
      <c r="E31" s="2"/>
      <c r="F31" s="2"/>
      <c r="G31" s="2"/>
      <c r="H31" s="2"/>
      <c r="I31" s="10"/>
      <c r="J31" s="2"/>
      <c r="K31" s="2"/>
      <c r="L31" s="2"/>
      <c r="M31" s="2"/>
      <c r="N31" s="2"/>
      <c r="O31" s="2"/>
      <c r="P31" s="2"/>
    </row>
    <row r="32" spans="1:16" x14ac:dyDescent="0.35">
      <c r="A32" s="2"/>
      <c r="B32" s="2"/>
      <c r="C32" s="10"/>
      <c r="D32" s="2"/>
      <c r="E32" s="2"/>
      <c r="F32" s="2"/>
      <c r="G32" s="2"/>
      <c r="H32" s="2"/>
      <c r="I32" s="10"/>
      <c r="J32" s="2"/>
      <c r="K32" s="2"/>
      <c r="L32" s="2"/>
      <c r="M32" s="2"/>
      <c r="N32" s="2"/>
      <c r="O32" s="2"/>
      <c r="P32" s="2"/>
    </row>
    <row r="33" spans="1:16" x14ac:dyDescent="0.35">
      <c r="A33" s="2"/>
      <c r="B33" s="2"/>
      <c r="C33" s="10"/>
      <c r="D33" s="2"/>
      <c r="E33" s="2"/>
      <c r="F33" s="2"/>
      <c r="G33" s="2"/>
      <c r="H33" s="2"/>
      <c r="I33" s="10"/>
      <c r="J33" s="2"/>
      <c r="K33" s="2"/>
      <c r="L33" s="2"/>
      <c r="M33" s="2"/>
      <c r="N33" s="2"/>
      <c r="O33" s="2"/>
      <c r="P33" s="2"/>
    </row>
    <row r="34" spans="1:16" x14ac:dyDescent="0.35">
      <c r="A34" s="2"/>
      <c r="B34" s="2"/>
      <c r="C34" s="10"/>
      <c r="D34" s="2"/>
      <c r="E34" s="2"/>
      <c r="F34" s="2"/>
      <c r="G34" s="2"/>
      <c r="H34" s="2"/>
      <c r="I34" s="10"/>
      <c r="J34" s="2"/>
      <c r="K34" s="2"/>
      <c r="L34" s="2"/>
      <c r="M34" s="2"/>
      <c r="N34" s="2"/>
      <c r="O34" s="2"/>
      <c r="P34" s="2"/>
    </row>
    <row r="35" spans="1:16" x14ac:dyDescent="0.35">
      <c r="A35" s="2"/>
      <c r="B35" s="2"/>
      <c r="C35" s="10"/>
      <c r="D35" s="2"/>
      <c r="E35" s="2"/>
      <c r="F35" s="2"/>
      <c r="G35" s="2"/>
      <c r="H35" s="2"/>
      <c r="I35" s="10"/>
      <c r="J35" s="2"/>
      <c r="K35" s="2"/>
      <c r="L35" s="2"/>
      <c r="M35" s="2"/>
      <c r="N35" s="2"/>
      <c r="O35" s="2"/>
      <c r="P35" s="2"/>
    </row>
    <row r="36" spans="1:16" x14ac:dyDescent="0.35">
      <c r="A36" s="2"/>
      <c r="B36" s="2"/>
      <c r="C36" s="10"/>
      <c r="D36" s="2"/>
      <c r="E36" s="2"/>
      <c r="F36" s="2"/>
      <c r="G36" s="2"/>
      <c r="H36" s="2"/>
      <c r="I36" s="10"/>
      <c r="J36" s="2"/>
      <c r="K36" s="2"/>
      <c r="L36" s="2"/>
      <c r="M36" s="2"/>
      <c r="N36" s="2"/>
      <c r="O36" s="2"/>
      <c r="P36" s="2"/>
    </row>
    <row r="37" spans="1:16" x14ac:dyDescent="0.35">
      <c r="A37" s="2"/>
      <c r="B37" s="2"/>
      <c r="C37" s="10"/>
      <c r="D37" s="2"/>
      <c r="E37" s="2"/>
      <c r="F37" s="2"/>
      <c r="G37" s="2"/>
      <c r="H37" s="2"/>
      <c r="I37" s="10"/>
      <c r="J37" s="2"/>
      <c r="K37" s="2"/>
      <c r="L37" s="2"/>
      <c r="M37" s="2"/>
      <c r="N37" s="2"/>
      <c r="O37" s="2"/>
      <c r="P37" s="2"/>
    </row>
    <row r="38" spans="1:16" x14ac:dyDescent="0.35">
      <c r="A38" s="2"/>
      <c r="B38" s="2"/>
      <c r="C38" s="10"/>
      <c r="D38" s="2"/>
      <c r="E38" s="2"/>
      <c r="F38" s="2"/>
      <c r="G38" s="2"/>
      <c r="H38" s="2"/>
      <c r="I38" s="10"/>
      <c r="J38" s="2"/>
      <c r="K38" s="2"/>
      <c r="L38" s="2"/>
      <c r="M38" s="2"/>
      <c r="N38" s="2"/>
      <c r="O38" s="2"/>
      <c r="P38" s="2"/>
    </row>
    <row r="39" spans="1:16" x14ac:dyDescent="0.35">
      <c r="A39" s="2"/>
      <c r="B39" s="2"/>
      <c r="C39" s="10"/>
      <c r="D39" s="2"/>
      <c r="E39" s="2"/>
      <c r="F39" s="2"/>
      <c r="G39" s="2"/>
      <c r="H39" s="2"/>
      <c r="I39" s="10"/>
      <c r="J39" s="2"/>
      <c r="K39" s="2"/>
      <c r="L39" s="2"/>
      <c r="M39" s="2"/>
      <c r="N39" s="2"/>
      <c r="O39" s="2"/>
      <c r="P39" s="2"/>
    </row>
    <row r="40" spans="1:16" x14ac:dyDescent="0.35">
      <c r="A40" s="2"/>
      <c r="B40" s="2"/>
      <c r="C40" s="10"/>
      <c r="D40" s="2"/>
      <c r="E40" s="2"/>
      <c r="F40" s="2"/>
      <c r="G40" s="2"/>
      <c r="H40" s="2"/>
      <c r="I40" s="10"/>
      <c r="J40" s="2"/>
      <c r="K40" s="2"/>
      <c r="L40" s="2"/>
      <c r="M40" s="2"/>
      <c r="N40" s="2"/>
      <c r="O40" s="2"/>
      <c r="P40" s="2"/>
    </row>
    <row r="41" spans="1:16" x14ac:dyDescent="0.35">
      <c r="A41" s="2"/>
      <c r="B41" s="2"/>
      <c r="C41" s="10"/>
      <c r="D41" s="2"/>
      <c r="E41" s="2"/>
      <c r="F41" s="2"/>
      <c r="G41" s="2"/>
      <c r="H41" s="2"/>
      <c r="I41" s="10"/>
      <c r="J41" s="2"/>
      <c r="K41" s="2"/>
      <c r="L41" s="2"/>
      <c r="M41" s="2"/>
      <c r="N41" s="2"/>
      <c r="O41" s="2"/>
      <c r="P41" s="2"/>
    </row>
    <row r="42" spans="1:16" x14ac:dyDescent="0.35">
      <c r="A42" s="2"/>
      <c r="B42" s="2"/>
      <c r="C42" s="10"/>
      <c r="D42" s="2"/>
      <c r="E42" s="2"/>
      <c r="F42" s="2"/>
      <c r="G42" s="2"/>
      <c r="H42" s="2"/>
      <c r="I42" s="10"/>
      <c r="J42" s="2"/>
      <c r="K42" s="2"/>
      <c r="L42" s="2"/>
      <c r="M42" s="2"/>
      <c r="N42" s="2"/>
      <c r="O42" s="2"/>
      <c r="P42" s="2"/>
    </row>
    <row r="43" spans="1:16" x14ac:dyDescent="0.35">
      <c r="A43" s="2"/>
      <c r="B43" s="2"/>
      <c r="C43" s="10"/>
      <c r="D43" s="2"/>
      <c r="E43" s="2"/>
      <c r="F43" s="2"/>
      <c r="G43" s="2"/>
      <c r="H43" s="2"/>
      <c r="I43" s="10"/>
      <c r="J43" s="2"/>
      <c r="K43" s="2"/>
      <c r="L43" s="2"/>
      <c r="M43" s="2"/>
      <c r="N43" s="2"/>
      <c r="O43" s="2"/>
      <c r="P43" s="2"/>
    </row>
    <row r="44" spans="1:16" x14ac:dyDescent="0.35">
      <c r="A44" s="2"/>
      <c r="B44" s="2"/>
      <c r="C44" s="10"/>
      <c r="D44" s="2"/>
      <c r="E44" s="2"/>
      <c r="F44" s="2"/>
      <c r="G44" s="2"/>
      <c r="H44" s="2"/>
      <c r="I44" s="10"/>
      <c r="J44" s="2"/>
      <c r="K44" s="2"/>
      <c r="L44" s="2"/>
      <c r="M44" s="2"/>
      <c r="N44" s="2"/>
      <c r="O44" s="2"/>
      <c r="P44" s="2"/>
    </row>
    <row r="45" spans="1:16" x14ac:dyDescent="0.35">
      <c r="A45" s="2"/>
      <c r="B45" s="2"/>
      <c r="C45" s="10"/>
      <c r="D45" s="2"/>
      <c r="E45" s="2"/>
      <c r="F45" s="2"/>
      <c r="G45" s="2"/>
      <c r="H45" s="2"/>
      <c r="I45" s="10"/>
      <c r="J45" s="2"/>
      <c r="K45" s="2"/>
      <c r="L45" s="2"/>
      <c r="M45" s="2"/>
      <c r="N45" s="2"/>
      <c r="O45" s="2"/>
      <c r="P45" s="2"/>
    </row>
    <row r="46" spans="1:16" x14ac:dyDescent="0.35">
      <c r="A46" s="2"/>
      <c r="B46" s="2"/>
      <c r="C46" s="10"/>
      <c r="D46" s="2"/>
      <c r="E46" s="2"/>
      <c r="F46" s="2"/>
      <c r="G46" s="2"/>
      <c r="H46" s="2"/>
      <c r="I46" s="10"/>
      <c r="J46" s="2"/>
      <c r="K46" s="2"/>
      <c r="L46" s="2"/>
      <c r="M46" s="2"/>
      <c r="N46" s="2"/>
      <c r="O46" s="2"/>
      <c r="P46" s="2"/>
    </row>
    <row r="47" spans="1:16" x14ac:dyDescent="0.35">
      <c r="A47" s="2"/>
      <c r="B47" s="2"/>
      <c r="C47" s="10"/>
      <c r="D47" s="2"/>
      <c r="E47" s="2"/>
      <c r="F47" s="2"/>
      <c r="G47" s="2"/>
      <c r="H47" s="2"/>
      <c r="I47" s="10"/>
      <c r="J47" s="2"/>
      <c r="K47" s="2"/>
      <c r="L47" s="2"/>
      <c r="M47" s="2"/>
      <c r="N47" s="2"/>
      <c r="O47" s="2"/>
      <c r="P47" s="2"/>
    </row>
  </sheetData>
  <mergeCells count="1">
    <mergeCell ref="A1:P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105a5c-a007-48dd-9932-87303e6dc911">
      <Terms xmlns="http://schemas.microsoft.com/office/infopath/2007/PartnerControls"/>
    </lcf76f155ced4ddcb4097134ff3c332f>
    <TaxCatchAll xmlns="8dd40bd7-d75f-4d84-aae8-e15e60133d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BD95992098C24ABEE0C744F80396DB" ma:contentTypeVersion="14" ma:contentTypeDescription="Skapa ett nytt dokument." ma:contentTypeScope="" ma:versionID="d45367d6de4496a9848e1737ab3e353b">
  <xsd:schema xmlns:xsd="http://www.w3.org/2001/XMLSchema" xmlns:xs="http://www.w3.org/2001/XMLSchema" xmlns:p="http://schemas.microsoft.com/office/2006/metadata/properties" xmlns:ns2="8dd40bd7-d75f-4d84-aae8-e15e60133df7" xmlns:ns3="b6105a5c-a007-48dd-9932-87303e6dc911" targetNamespace="http://schemas.microsoft.com/office/2006/metadata/properties" ma:root="true" ma:fieldsID="98aaae9d5aef10bd00a10a6d8e12decb" ns2:_="" ns3:_="">
    <xsd:import namespace="8dd40bd7-d75f-4d84-aae8-e15e60133df7"/>
    <xsd:import namespace="b6105a5c-a007-48dd-9932-87303e6dc9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d40bd7-d75f-4d84-aae8-e15e60133df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86335fe-867b-4421-97c1-cd3a1920335d}" ma:internalName="TaxCatchAll" ma:showField="CatchAllData" ma:web="8dd40bd7-d75f-4d84-aae8-e15e60133d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05a5c-a007-48dd-9932-87303e6dc9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eringar" ma:readOnly="false" ma:fieldId="{5cf76f15-5ced-4ddc-b409-7134ff3c332f}" ma:taxonomyMulti="true" ma:sspId="d78728e8-f4aa-4686-afb8-7836614fb5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52F5C4-0F4D-4C35-993D-C226ED67E7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665659-C074-4B59-B2BC-7F1D0F2E6B9A}">
  <ds:schemaRefs>
    <ds:schemaRef ds:uri="http://schemas.microsoft.com/office/2006/metadata/properties"/>
    <ds:schemaRef ds:uri="http://schemas.microsoft.com/office/infopath/2007/PartnerControls"/>
    <ds:schemaRef ds:uri="b6105a5c-a007-48dd-9932-87303e6dc911"/>
    <ds:schemaRef ds:uri="8dd40bd7-d75f-4d84-aae8-e15e60133df7"/>
  </ds:schemaRefs>
</ds:datastoreItem>
</file>

<file path=customXml/itemProps3.xml><?xml version="1.0" encoding="utf-8"?>
<ds:datastoreItem xmlns:ds="http://schemas.openxmlformats.org/officeDocument/2006/customXml" ds:itemID="{2DEB005F-5F51-4390-8D5D-9066A48869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d40bd7-d75f-4d84-aae8-e15e60133df7"/>
    <ds:schemaRef ds:uri="b6105a5c-a007-48dd-9932-87303e6dc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PUR_GEN_2026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Abdulrahman Alyahyaee</dc:creator>
  <cp:keywords/>
  <dc:description/>
  <cp:lastModifiedBy>Abdulrahman Alyahyaee</cp:lastModifiedBy>
  <cp:revision/>
  <dcterms:created xsi:type="dcterms:W3CDTF">2015-06-05T18:17:20Z</dcterms:created>
  <dcterms:modified xsi:type="dcterms:W3CDTF">2026-07-08T11:06:37Z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0x0101009BBD95992098C24ABEE0C744F80396DB</vt:lpwstr>
  </property>
  <property fmtid="{D5CDD505-2E9C-101B-9397-08002B2CF9AE}" pid="3" name="MediaServiceImageTags">
    <vt:lpwstr/>
  </property>
</Properties>
</file>