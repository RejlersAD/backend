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rejlerssverige-my.sharepoint.com/personal/tanzeem_agra_rejlers_ae/Documents/Desktop/AIFlow/Documents/Process/P&amp;ID - Phase 2 Modification/"/>
    </mc:Choice>
  </mc:AlternateContent>
  <xr:revisionPtr revIDLastSave="3" documentId="11_668264589472445DFFC57A095B3930655795F7C0" xr6:coauthVersionLast="47" xr6:coauthVersionMax="47" xr10:uidLastSave="{79EBCAF0-A80E-429A-9797-71E973AECD10}"/>
  <bookViews>
    <workbookView xWindow="28680" yWindow="-120" windowWidth="29040" windowHeight="15720" tabRatio="500" activeTab="1" xr2:uid="{00000000-000D-0000-FFFF-FFFF00000000}"/>
  </bookViews>
  <sheets>
    <sheet name="Cover" sheetId="1" r:id="rId1"/>
    <sheet name="AI Check Register" sheetId="2" r:id="rId2"/>
    <sheet name="Summary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9" i="3" l="1"/>
  <c r="E9" i="3"/>
  <c r="D9" i="3"/>
  <c r="C9" i="3"/>
  <c r="B9" i="3"/>
  <c r="H9" i="3" s="1"/>
  <c r="F8" i="3"/>
  <c r="E8" i="3"/>
  <c r="D8" i="3"/>
  <c r="C8" i="3"/>
  <c r="B8" i="3"/>
  <c r="H8" i="3" s="1"/>
  <c r="F7" i="3"/>
  <c r="E7" i="3"/>
  <c r="D7" i="3"/>
  <c r="C7" i="3"/>
  <c r="B7" i="3"/>
  <c r="H7" i="3" s="1"/>
  <c r="F6" i="3"/>
  <c r="E6" i="3"/>
  <c r="D6" i="3"/>
  <c r="C6" i="3"/>
  <c r="B6" i="3"/>
  <c r="H6" i="3" s="1"/>
  <c r="F5" i="3"/>
  <c r="E5" i="3"/>
  <c r="D5" i="3"/>
  <c r="C5" i="3"/>
  <c r="B5" i="3"/>
  <c r="H5" i="3" s="1"/>
  <c r="F4" i="3"/>
  <c r="F10" i="3" s="1"/>
  <c r="E4" i="3"/>
  <c r="E10" i="3" s="1"/>
  <c r="D4" i="3"/>
  <c r="D10" i="3" s="1"/>
  <c r="C4" i="3"/>
  <c r="C10" i="3" s="1"/>
  <c r="B4" i="3"/>
  <c r="H4" i="3" s="1"/>
  <c r="G5" i="3" l="1"/>
  <c r="G7" i="3"/>
  <c r="G9" i="3"/>
  <c r="B10" i="3"/>
  <c r="G4" i="3"/>
  <c r="G6" i="3"/>
  <c r="G8" i="3"/>
  <c r="H10" i="3" l="1"/>
  <c r="G10" i="3"/>
</calcChain>
</file>

<file path=xl/sharedStrings.xml><?xml version="1.0" encoding="utf-8"?>
<sst xmlns="http://schemas.openxmlformats.org/spreadsheetml/2006/main" count="1848" uniqueCount="808">
  <si>
    <t>AI CHECK SCOPE REGISTER — P&amp;ID QUALITY &amp; CONSISTENCY</t>
  </si>
  <si>
    <t>One row per check from the Consolidated P&amp;ID Checklist (358 checks), classified by AI execution feasibility, with Pass/Fail result columns for AI output and engineer disposition.</t>
  </si>
  <si>
    <t>Project Name / No.:</t>
  </si>
  <si>
    <t>Unit / Area:</t>
  </si>
  <si>
    <t>P&amp;ID Set / Revisions Checked:</t>
  </si>
  <si>
    <t>Reference Document Revisions:</t>
  </si>
  <si>
    <t>AI Tool / Model Used:</t>
  </si>
  <si>
    <t>AI Run Date:</t>
  </si>
  <si>
    <t>Engineer Reviewing AI Output:</t>
  </si>
  <si>
    <t>Review Date:</t>
  </si>
  <si>
    <t>AI FEASIBILITY CLASSES</t>
  </si>
  <si>
    <t>AUTO</t>
  </si>
  <si>
    <t>AI can execute end-to-end from the P&amp;ID set plus reference registers (line list, instrument index, etc.); engineer verifies flagged findings.</t>
  </si>
  <si>
    <t>ASSIST</t>
  </si>
  <si>
    <t>AI extracts and compares data and flags candidate issues, but the check needs supplementary documents or engineering review to conclude.</t>
  </si>
  <si>
    <t>HUMAN</t>
  </si>
  <si>
    <t>Engineering judgment check — AI may summarize relevant drawing content, but must record the result as 'Not Checked' and leave the conclusion to the engineer.</t>
  </si>
  <si>
    <t>RESULT CONVENTIONS</t>
  </si>
  <si>
    <t>Pass</t>
  </si>
  <si>
    <t>Check executed; no discrepancy found within AI's extraction confidence.</t>
  </si>
  <si>
    <t>Fail</t>
  </si>
  <si>
    <t>Candidate discrepancy found — details mandatory in 'AI Finding / Evidence' (sheet, tag, both values).</t>
  </si>
  <si>
    <t>N/A</t>
  </si>
  <si>
    <t>Check not applicable to this P&amp;ID set / stage.</t>
  </si>
  <si>
    <t>Not Checked</t>
  </si>
  <si>
    <t>Not executed: HUMAN-class check, missing reference document, or illegible source — reason mandatory in Finding column.</t>
  </si>
  <si>
    <t>Feasibility classes are pre-assigned defaults based on check content — the engineer may reclassify any row (dropdown provided). Every 'Fail' and every 'Not Checked' requires engineer disposition before drawing issue. AI findings are candidate discrepancies only; this register supplements, and does not replace, discipline squad check, inter-discipline review, and HAZOP.</t>
  </si>
  <si>
    <t>AI CHECK SCOPE REGISTER</t>
  </si>
  <si>
    <t>Check ID</t>
  </si>
  <si>
    <t>Part</t>
  </si>
  <si>
    <t>Section</t>
  </si>
  <si>
    <t>Check Description</t>
  </si>
  <si>
    <t>AI Feasibility</t>
  </si>
  <si>
    <t>AI Result</t>
  </si>
  <si>
    <t>AI Confidence</t>
  </si>
  <si>
    <t>AI Finding / Evidence (sheet, tag, values)</t>
  </si>
  <si>
    <t>Engineer Disposition</t>
  </si>
  <si>
    <t>F-1.1</t>
  </si>
  <si>
    <t>Part A — Feed Stage</t>
  </si>
  <si>
    <t>1. GENERAL — DRAWING SET-UP, FORMAT &amp; DOCUMENT CONTROL</t>
  </si>
  <si>
    <t>P&amp;ID set covers the full FEED scope: all process, utility, interconnecting, and relief/flare systems have a drawing; drawing index is complete.</t>
  </si>
  <si>
    <t>High</t>
  </si>
  <si>
    <t>Example: all 24 sheets present per index rev C; no gaps. Overwrite/delete before formal issue.</t>
  </si>
  <si>
    <t>Accepted — J.S. 10-Jul-26</t>
  </si>
  <si>
    <t>F-1.2</t>
  </si>
  <si>
    <t>Drawing numbering system, title block format, and revision scheme conform to project document control procedures.</t>
  </si>
  <si>
    <t>F-1.3</t>
  </si>
  <si>
    <t>Legend &amp; symbols sheets issued and P&amp;IDs conform to them (ISA-5.1 / client standard); no undefined symbols.</t>
  </si>
  <si>
    <t>F-1.4</t>
  </si>
  <si>
    <t>Drawing status (e.g., Issued for Design / Issued for HAZOP) correct; revision description and clouds reflect changes since last issue.</t>
  </si>
  <si>
    <t>F-1.5</t>
  </si>
  <si>
    <t>All HOLDs are clouded, numbered, listed in a HOLD register/table with responsible party and target close-out phase.</t>
  </si>
  <si>
    <t>F-1.6</t>
  </si>
  <si>
    <t>Continuation arrows/off-page connectors reference correct drawing numbers and are consistent in both directions.</t>
  </si>
  <si>
    <t>F-1.7</t>
  </si>
  <si>
    <t>Battery limits and scope split (FEED contractor / licensor / vendor / existing facilities / by others) clearly shown and labelled.</t>
  </si>
  <si>
    <t>F-1.8</t>
  </si>
  <si>
    <t>General notes established, applicable, and consistent across the P&amp;ID set (typical details referenced rather than repeated).</t>
  </si>
  <si>
    <t>F-1.9</t>
  </si>
  <si>
    <t>Licensor P&amp;IDs / process design package (PDP) correctly transposed; deviations from licensor scheme documented and approved.</t>
  </si>
  <si>
    <t>F-1.10</t>
  </si>
  <si>
    <t>P&amp;IDs consistent with the approved PFDs and heat &amp; material balance (stream data, equipment count, configuration).</t>
  </si>
  <si>
    <t>F-1.11</t>
  </si>
  <si>
    <t>Design basis documents (process design basis, utility summary, effluent summary) reflected on the drawings.</t>
  </si>
  <si>
    <t>F-1.12</t>
  </si>
  <si>
    <t>Sufficient white space / sheet allocation for expected detail-engineering development (drawings not already overcrowded).</t>
  </si>
  <si>
    <t>F-2.1</t>
  </si>
  <si>
    <t>2. PROCESS DESIGN DEFINITION</t>
  </si>
  <si>
    <t>All operating modes identified (normal, startup, shutdown, regeneration, turndown, alternative feeds) and the P&amp;ID supports each.</t>
  </si>
  <si>
    <t>F-2.2</t>
  </si>
  <si>
    <t>Process flow path complete and correct from battery limit to battery limit for every service.</t>
  </si>
  <si>
    <t>F-2.3</t>
  </si>
  <si>
    <t>Line sizing basis established: preliminary sizes shown for all major process lines, consistent with hydraulic calculations.</t>
  </si>
  <si>
    <t>F-2.4</t>
  </si>
  <si>
    <t>Design pressure and temperature philosophy established and applied consistently (margins above operating, hierarchy across systems).</t>
  </si>
  <si>
    <t>F-2.5</t>
  </si>
  <si>
    <t>Turndown and rangeability requirements identified where they drive equipment/instrument selection.</t>
  </si>
  <si>
    <t>F-2.6</t>
  </si>
  <si>
    <t>Two-phase flow, slug flow, flashing, and erosive/corrosive services identified and flagged for special treatment.</t>
  </si>
  <si>
    <t>F-2.7</t>
  </si>
  <si>
    <t>Material selection / corrosion study results reflected in preliminary piping classes assigned to each line.</t>
  </si>
  <si>
    <t>F-2.8</t>
  </si>
  <si>
    <t>Process chemistry hazards (H2S, HF, chlorides, hydrates, fouling, polymerization) identified with notes where they drive design.</t>
  </si>
  <si>
    <t>F-2.9</t>
  </si>
  <si>
    <t>Utility demand points identified for every consumer, consistent with the utility summary.</t>
  </si>
  <si>
    <t>F-2.10</t>
  </si>
  <si>
    <t>Effluent, emission, and waste streams identified with disposition routing consistent with the environmental basis.</t>
  </si>
  <si>
    <t>F-3.1</t>
  </si>
  <si>
    <t>3. EQUIPMENT CONFIGURATION &amp; DATA</t>
  </si>
  <si>
    <t>All equipment from the PFD/equipment list is shown with correct tag numbers and service descriptions.</t>
  </si>
  <si>
    <t>F-3.2</t>
  </si>
  <si>
    <t>Equipment sparing philosophy (duty/standby, 2x50%, 3x50%) resolved and reflected in the configuration shown.</t>
  </si>
  <si>
    <t>F-3.3</t>
  </si>
  <si>
    <t>Equipment title blocks show FEED-level data: capacity/duty, design P/T, materials — consistent with process datasheets.</t>
  </si>
  <si>
    <t>F-3.4</t>
  </si>
  <si>
    <t>Major nozzles shown for each equipment item (process, relief, vent, drain, instrument connections at concept level).</t>
  </si>
  <si>
    <t>F-3.5</t>
  </si>
  <si>
    <t>Vessel elevation requirements shown where process-critical (NPSH, gravity flow, thermosiphon reboilers).</t>
  </si>
  <si>
    <t>F-3.6</t>
  </si>
  <si>
    <t>Pump configuration defined: type, duty/standby, minimum-flow protection concept, seal plan concept.</t>
  </si>
  <si>
    <t>F-3.7</t>
  </si>
  <si>
    <t>Compressor configuration defined: stages, anti-surge concept, KO drums, lube/seal systems identified (vendor scope noted).</t>
  </si>
  <si>
    <t>F-3.8</t>
  </si>
  <si>
    <t>Heat exchanger types selected and consistent with datasheets; bypass requirements for control identified.</t>
  </si>
  <si>
    <t>F-3.9</t>
  </si>
  <si>
    <t>Fired equipment shown with fuel system, BMS interface concept, and safeguarding connections identified.</t>
  </si>
  <si>
    <t>F-3.10</t>
  </si>
  <si>
    <t>Storage tanks shown with blanketing/venting concept per API 2000 basis and overfill protection philosophy.</t>
  </si>
  <si>
    <t>F-3.11</t>
  </si>
  <si>
    <t>Packaged/licensed units shown as defined battery-limit boxes with interface streams tagged; vendor scope clouded or noted.</t>
  </si>
  <si>
    <t>F-3.12</t>
  </si>
  <si>
    <t>Long-lead equipment fully defined on the P&amp;ID to the level needed for purchase specification.</t>
  </si>
  <si>
    <t>F-3.13</t>
  </si>
  <si>
    <t>Future/spare equipment provisions shown where required by the design basis (space, valved connections, 'FUTURE' labels).</t>
  </si>
  <si>
    <t>F-4.1</t>
  </si>
  <si>
    <t>4. PIPING &amp; LAYOUT-CRITICAL REQUIREMENTS</t>
  </si>
  <si>
    <t>Line numbering system established and every line carries a unique number consistent with the FEED line list.</t>
  </si>
  <si>
    <t>F-4.2</t>
  </si>
  <si>
    <t>Preliminary piping classes/specs assigned to all lines; spec-break philosophy defined (even if exact locations are detail-stage).</t>
  </si>
  <si>
    <t>F-4.3</t>
  </si>
  <si>
    <t>Flow direction arrows on all lines and consistent with process intent in all operating modes.</t>
  </si>
  <si>
    <t>F-4.4</t>
  </si>
  <si>
    <t>Layout-critical piping requirements noted: slope, no-pocket, free-draining, minimum length, symmetry (reboilers, relief, compressor suction).</t>
  </si>
  <si>
    <t>F-4.5</t>
  </si>
  <si>
    <t>Gravity-flow and thermosiphon circuits identified with elevation requirements noted.</t>
  </si>
  <si>
    <t>F-4.6</t>
  </si>
  <si>
    <t>Critical line routing constraints flagged (e.g., 'route without pockets to flare KO drum') for detail engineering.</t>
  </si>
  <si>
    <t>F-4.7</t>
  </si>
  <si>
    <t>Insulation and heat-tracing philosophy established; insulation classes assigned to lines at FEED level.</t>
  </si>
  <si>
    <t>F-4.8</t>
  </si>
  <si>
    <t>Pigging, flushing, and cleaning requirements identified where they affect line configuration (launchers/receivers shown).</t>
  </si>
  <si>
    <t>F-4.9</t>
  </si>
  <si>
    <t>Sample point philosophy defined and major sample points located.</t>
  </si>
  <si>
    <t>F-4.10</t>
  </si>
  <si>
    <t>Chemical injection points identified with injection philosophy (type, location) established.</t>
  </si>
  <si>
    <t>F-4.11</t>
  </si>
  <si>
    <t>Tie-in points to existing facilities identified, numbered, and captured in a preliminary tie-in list.</t>
  </si>
  <si>
    <t>F-4.12</t>
  </si>
  <si>
    <t>Special piping items (SP) philosophy established; known SP items identified.</t>
  </si>
  <si>
    <t>F-5.1</t>
  </si>
  <si>
    <t>5. VALVES &amp; ISOLATION PHILOSOPHY</t>
  </si>
  <si>
    <t>Project isolation philosophy defined (single valve / DBB / positive isolation criteria by service and rating) and applied consistently.</t>
  </si>
  <si>
    <t>F-5.2</t>
  </si>
  <si>
    <t>Block valves shown at battery limits, equipment isolation boundaries, and maintenance envelopes per the philosophy.</t>
  </si>
  <si>
    <t>F-5.3</t>
  </si>
  <si>
    <t>Spading/blinding provisions (spectacle blinds, spades) shown where positive isolation philosophy requires them.</t>
  </si>
  <si>
    <t>F-5.4</t>
  </si>
  <si>
    <t>Control valve manifold philosophy defined (block/bypass/drain arrangement by size/service) — shown or covered by typical detail.</t>
  </si>
  <si>
    <t>F-5.5</t>
  </si>
  <si>
    <t>Actuated on/off valves (ESDV, SDV, MOV) identified with failure positions consistent with the safeguarding concept.</t>
  </si>
  <si>
    <t>F-5.6</t>
  </si>
  <si>
    <t>Check valve philosophy applied at pump/compressor discharges, utility/process interfaces, and injection points.</t>
  </si>
  <si>
    <t>F-5.7</t>
  </si>
  <si>
    <t>Locked/car-sealed valve philosophy defined for relief paths and critical services (LO/LC/CSO/CSC).</t>
  </si>
  <si>
    <t>F-5.8</t>
  </si>
  <si>
    <t>Valve types consistent with preliminary piping classes (no valve types outside the assigned spec).</t>
  </si>
  <si>
    <t>F-6.1</t>
  </si>
  <si>
    <t>6. CONTROL PHILOSOPHY &amp; INSTRUMENTATION (FEED LEVEL)</t>
  </si>
  <si>
    <t>Overall control philosophy documented and reflected: all major control loops shown complete (element, transmitter, controller, final element).</t>
  </si>
  <si>
    <t>F-6.2</t>
  </si>
  <si>
    <t>Control system architecture defined (BPCS/DCS, SIS/ESD, F&amp;G, package PLCs) and instrument bubbles use correct location symbols.</t>
  </si>
  <si>
    <t>F-6.3</t>
  </si>
  <si>
    <t>Instrument tag numbering system established; tags unique and consistent with the FEED instrument index.</t>
  </si>
  <si>
    <t>F-6.4</t>
  </si>
  <si>
    <t>Major control valves shown with failure positions consistent with the safeguarding and control philosophy.</t>
  </si>
  <si>
    <t>F-6.5</t>
  </si>
  <si>
    <t>Key process alarms and trips identified (H/HH/L/LL) at FEED level, consistent with the preliminary alarm &amp; trip schedule.</t>
  </si>
  <si>
    <t>F-6.6</t>
  </si>
  <si>
    <t>SIS functions distinguished from BPCS loops; preliminary SIFs identified consistent with HAZOP/LOPA planning.</t>
  </si>
  <si>
    <t>F-6.7</t>
  </si>
  <si>
    <t>Interlock references shown for defined shutdown functions, consistent with preliminary cause &amp; effect diagrams.</t>
  </si>
  <si>
    <t>F-6.8</t>
  </si>
  <si>
    <t>Custody transfer / fiscal metering requirements identified with metering concept shown.</t>
  </si>
  <si>
    <t>F-6.9</t>
  </si>
  <si>
    <t>Analyzer requirements identified (measurement, location concept) even if sample system detail is a HOLD.</t>
  </si>
  <si>
    <t>F-6.10</t>
  </si>
  <si>
    <t>Flow element types selected where they drive piping design (meter runs, straight lengths flagged).</t>
  </si>
  <si>
    <t>F-6.11</t>
  </si>
  <si>
    <t>Level instrumentation concept defined for each vessel (technology, bridle/standpipe philosophy).</t>
  </si>
  <si>
    <t>F-6.12</t>
  </si>
  <si>
    <t>Local indication philosophy (PG/TG/LG) defined — shown or covered by typical/general note.</t>
  </si>
  <si>
    <t>F-6.13</t>
  </si>
  <si>
    <t>Control/operability of each operating mode verifiable from the P&amp;ID (startup controls, kickback, warm-up paths).</t>
  </si>
  <si>
    <t>F-7.1</t>
  </si>
  <si>
    <t>7. SAFEGUARDING, RELIEF &amp; FLARE CONCEPT</t>
  </si>
  <si>
    <t>Overpressure protection philosophy documented; every pressure system has an identified protection concept (PSV, design for max pressure, instrumented protection).</t>
  </si>
  <si>
    <t>F-7.2</t>
  </si>
  <si>
    <t>All relief devices shown with tag numbers and preliminary set pressures consistent with the relief philosophy and design pressures.</t>
  </si>
  <si>
    <t>F-7.3</t>
  </si>
  <si>
    <t>Governing relief scenarios identified per system (fire, blocked outlet, CV failure, tube rupture) — preliminary relief load estimates support flare sizing.</t>
  </si>
  <si>
    <t>F-7.4</t>
  </si>
  <si>
    <t>Relief disposition defined for every device (flare, atmosphere, closed drain) per the disposition philosophy.</t>
  </si>
  <si>
    <t>F-7.5</t>
  </si>
  <si>
    <t>Flare system concept complete: headers, KO drum(s), seal, purge, ignition — sized for the governing FEED relief case.</t>
  </si>
  <si>
    <t>F-7.6</t>
  </si>
  <si>
    <t>Emergency depressurization (blowdown) philosophy defined; BDVs and restriction orifices shown for systems requiring depressurization.</t>
  </si>
  <si>
    <t>F-7.7</t>
  </si>
  <si>
    <t>ESD philosophy and shutdown hierarchy defined (unit/plant/total); ESDVs located at battery limits and inventory isolation points.</t>
  </si>
  <si>
    <t>F-7.8</t>
  </si>
  <si>
    <t>Fire &amp; gas detection philosophy referenced; F&amp;G-initiated actions consistent with the safeguarding concept.</t>
  </si>
  <si>
    <t>F-7.9</t>
  </si>
  <si>
    <t>Vacuum protection concept defined where credible vacuum scenarios exist.</t>
  </si>
  <si>
    <t>F-7.10</t>
  </si>
  <si>
    <t>Thermal relief philosophy defined for blocked-in liquid volumes.</t>
  </si>
  <si>
    <t>F-7.11</t>
  </si>
  <si>
    <t>Safety-critical elevation/layout requirements flagged (flare KO drum slope, PSV tailpipe routing criteria).</t>
  </si>
  <si>
    <t>F-7.12</t>
  </si>
  <si>
    <t>HAZID actions affecting P&amp;IDs incorporated; drawings ready for HAZOP (all systems complete enough to be noded).</t>
  </si>
  <si>
    <t>F-7.13</t>
  </si>
  <si>
    <t>Inherently safer design review outcomes reflected (inventory reduction, substitution, simplification decisions).</t>
  </si>
  <si>
    <t>F-8.1</t>
  </si>
  <si>
    <t>8. VENTS, DRAINS &amp; DISPOSAL CONCEPT</t>
  </si>
  <si>
    <t>Drain system philosophy defined (open/closed, segregation by service) and headers shown on utility/interconnecting P&amp;IDs.</t>
  </si>
  <si>
    <t>F-8.2</t>
  </si>
  <si>
    <t>Closed drain / blowdown drum concept sized and shown for the governing case.</t>
  </si>
  <si>
    <t>F-8.3</t>
  </si>
  <si>
    <t>Vent disposition philosophy defined (flare vs. atmosphere criteria) and applied to all identified vents.</t>
  </si>
  <si>
    <t>F-8.4</t>
  </si>
  <si>
    <t>Major maintenance drain/vent requirements identified for large equipment (columns, exchanger banks).</t>
  </si>
  <si>
    <t>F-8.5</t>
  </si>
  <si>
    <t>Steam-out / purge / inerting philosophy for equipment preparation defined and connections concept shown.</t>
  </si>
  <si>
    <t>F-8.6</t>
  </si>
  <si>
    <t>Effluent segregation (oily water, chemical, sanitary, storm) consistent with the effluent treatment design basis.</t>
  </si>
  <si>
    <t>F-9.1</t>
  </si>
  <si>
    <t>9. UTILITY SYSTEMS DEFINITION</t>
  </si>
  <si>
    <t>Utility generation/import capacity consistent with the utility summary (steam levels, CW, IA/PA, N2, fuel gas, power-related consumers).</t>
  </si>
  <si>
    <t>F-9.2</t>
  </si>
  <si>
    <t>Utility distribution P&amp;IDs cover all headers with preliminary sizes; consumers ticked off against the utility summary.</t>
  </si>
  <si>
    <t>F-9.3</t>
  </si>
  <si>
    <t>Steam and condensate system concept complete (levels, letdowns, desuperheaters, condensate recovery, trap philosophy).</t>
  </si>
  <si>
    <t>F-9.4</t>
  </si>
  <si>
    <t>Cooling water supply/return shown to all consumers; exchanger thermal relief philosophy noted.</t>
  </si>
  <si>
    <t>F-9.5</t>
  </si>
  <si>
    <t>Instrument air/plant air segregation and backup philosophy (receivers, N2 backup) defined.</t>
  </si>
  <si>
    <t>F-9.6</t>
  </si>
  <si>
    <t>Nitrogen system users identified; backflow-prevention philosophy at process interfaces defined.</t>
  </si>
  <si>
    <t>F-9.7</t>
  </si>
  <si>
    <t>Fuel gas system concept complete (conditioning, letdown, distribution to consumers).</t>
  </si>
  <si>
    <t>F-9.8</t>
  </si>
  <si>
    <t>Flushing/utility stations philosophy defined and locations concept established.</t>
  </si>
  <si>
    <t>F-9.9</t>
  </si>
  <si>
    <t>Winterization/frost-protection philosophy established for the site climate.</t>
  </si>
  <si>
    <t>F-10.1</t>
  </si>
  <si>
    <t>10. INTERFACES, VENDOR SCOPE &amp; CONSTRUCTABILITY</t>
  </si>
  <si>
    <t>Interface register established: every battery-limit stream matches the receiving party's data (size, spec, conditions, tag).</t>
  </si>
  <si>
    <t>F-10.2</t>
  </si>
  <si>
    <t>Vendor package battery limits defined with interface concept (process, utility, control) sufficient for enquiry packages.</t>
  </si>
  <si>
    <t>F-10.3</t>
  </si>
  <si>
    <t>Licensor-mandated features preserved; any deviations formally approved and documented.</t>
  </si>
  <si>
    <t>F-10.4</t>
  </si>
  <si>
    <t>Brownfield interfaces verified against as-built documentation; site survey gaps captured as HOLDs.</t>
  </si>
  <si>
    <t>F-10.5</t>
  </si>
  <si>
    <t>Modularization/constructability decisions reflected where they affect P&amp;ID configuration (module boundaries, hook-up spools).</t>
  </si>
  <si>
    <t>F-10.6</t>
  </si>
  <si>
    <t>Preliminary 3D/plot plan review comments affecting P&amp;IDs incorporated (elevation, NPSH, gravity-flow constraints).</t>
  </si>
  <si>
    <t>F-10.7</t>
  </si>
  <si>
    <t>Commissioning and startup provisions identified (temporary strainers, startup bypasses, first-fill connections) at concept level.</t>
  </si>
  <si>
    <t>F-11.1</t>
  </si>
  <si>
    <t>11. CONSISTENCY WITH FEED DELIVERABLES</t>
  </si>
  <si>
    <t>PFDs / H&amp;MB: configuration, stream data, and equipment fully consistent.</t>
  </si>
  <si>
    <t>F-11.2</t>
  </si>
  <si>
    <t>FEED line list: every line on the P&amp;ID captured with size, preliminary spec, conditions, insulation class.</t>
  </si>
  <si>
    <t>F-11.3</t>
  </si>
  <si>
    <t>Equipment list &amp; process datasheets: tags, duties, design conditions consistent.</t>
  </si>
  <si>
    <t>F-11.4</t>
  </si>
  <si>
    <t>Preliminary instrument index: all instrument bubbles captured; no orphan tags.</t>
  </si>
  <si>
    <t>F-11.5</t>
  </si>
  <si>
    <t>Preliminary cause &amp; effect / SAFE charts: shutdown functions consistent.</t>
  </si>
  <si>
    <t>F-11.6</t>
  </si>
  <si>
    <t>Relief philosophy report / preliminary relief register: all devices and set pressures reconciled.</t>
  </si>
  <si>
    <t>F-11.7</t>
  </si>
  <si>
    <t>Utility summary and UFDs: consumers and header configuration consistent.</t>
  </si>
  <si>
    <t>F-11.8</t>
  </si>
  <si>
    <t>Cost estimate / MTO basis: P&amp;ID content supports the target estimate class (no known scope missing from drawings).</t>
  </si>
  <si>
    <t>F-11.9</t>
  </si>
  <si>
    <t>HAZOP preparation: node boundaries markable, drawings frozen/issued at the revision to be used for HAZOP.</t>
  </si>
  <si>
    <t>F-11.10</t>
  </si>
  <si>
    <t>EPC scope definition: HOLD register, notes, and drawings collectively define what detail engineering must complete.</t>
  </si>
  <si>
    <t>D-1.1</t>
  </si>
  <si>
    <t>Part B — Detail Engineering Stage</t>
  </si>
  <si>
    <t>1. GENERAL — DRAWING FORMAT &amp; DOCUMENTATION</t>
  </si>
  <si>
    <t>Drawing number, title, unit/area, and sheet number are correct and match the drawing index / master document register.</t>
  </si>
  <si>
    <t>D-1.2</t>
  </si>
  <si>
    <t>Revision number, revision date, revision description, and revision triangles/clouds are shown correctly; superseded clouds from earlier revisions removed.</t>
  </si>
  <si>
    <t>D-1.3</t>
  </si>
  <si>
    <t>Title block signatures (drawn, checked, approved) are complete and correct for the issue status (IFR/IFD/IFC).</t>
  </si>
  <si>
    <t>D-1.4</t>
  </si>
  <si>
    <t>Drawing status stamp (e.g., ISSUED FOR CONSTRUCTION) is correct for the current issue.</t>
  </si>
  <si>
    <t>D-1.5</t>
  </si>
  <si>
    <t>Legend, symbols, and abbreviations conform to the project Legend &amp; Symbols sheets (ISA-5.1 / client standard); no undefined symbols used.</t>
  </si>
  <si>
    <t>D-1.6</t>
  </si>
  <si>
    <t>Continuation arrows / off-page connectors reference the correct drawing numbers and are consistent in both directions (to/from).</t>
  </si>
  <si>
    <t>D-1.7</t>
  </si>
  <si>
    <t>Match lines between adjacent P&amp;IDs check correctly — line numbers, sizes, specs, and flow direction consistent across sheets.</t>
  </si>
  <si>
    <t>D-1.8</t>
  </si>
  <si>
    <t>All HOLD clouds are numbered, listed in the HOLD table, and have a defined close-out action/owner.</t>
  </si>
  <si>
    <t>D-1.9</t>
  </si>
  <si>
    <t>General notes are applicable, numbered sequentially, and referenced correctly on the drawing body.</t>
  </si>
  <si>
    <t>D-1.10</t>
  </si>
  <si>
    <t>Cross-references to related documents (line list, equipment list, instrument index, cause &amp; effect, UFD/PFD) are consistent.</t>
  </si>
  <si>
    <t>D-1.11</t>
  </si>
  <si>
    <t>P&amp;ID reflects the latest PFD/heat &amp; material balance revision; duty/process changes since FEED are incorporated.</t>
  </si>
  <si>
    <t>D-1.12</t>
  </si>
  <si>
    <t>Drawing is legible at issue scale — no overlapping text, crowded areas split to additional sheets where required.</t>
  </si>
  <si>
    <t>D-1.13</t>
  </si>
  <si>
    <t>North arrow / plant orientation reference shown where required by project standard.</t>
  </si>
  <si>
    <t>D-1.14</t>
  </si>
  <si>
    <t>Battery limit / scope split boundaries (by contractor, vendor, existing) are clearly shown and labelled.</t>
  </si>
  <si>
    <t>D-2.1</t>
  </si>
  <si>
    <t>2. EQUIPMENT</t>
  </si>
  <si>
    <t>All equipment items shown on the PFD and equipment list appear on the P&amp;IDs, with correct tag numbers.</t>
  </si>
  <si>
    <t>D-2.2</t>
  </si>
  <si>
    <t>Equipment tags, service descriptions, and duty/size/capacity data in equipment title blocks match the equipment list and datasheets.</t>
  </si>
  <si>
    <t>D-2.3</t>
  </si>
  <si>
    <t>Design pressure/temperature and operating conditions noted for equipment match datasheets and the line list.</t>
  </si>
  <si>
    <t>D-2.4</t>
  </si>
  <si>
    <t>Equipment nozzles are shown with correct size, rating, and identification; orientation consistent with vendor GA drawings.</t>
  </si>
  <si>
    <t>D-2.5</t>
  </si>
  <si>
    <t>All vendor-supplied nozzles are used or blanked; spare nozzles shown and labelled.</t>
  </si>
  <si>
    <t>D-2.6</t>
  </si>
  <si>
    <t>Equipment internals relevant to process function (demister pads, vortex breakers, distributors, baffles, weirs) are shown.</t>
  </si>
  <si>
    <t>D-2.7</t>
  </si>
  <si>
    <t>Vessel elevations, tangent lines, and levels (HLL/NLL/LLL, alarm and trip levels) are shown where required.</t>
  </si>
  <si>
    <t>D-2.8</t>
  </si>
  <si>
    <t>Pumps: correct configuration (duty/standby), auto-start logic reference, minimum flow protection, casing vents/drains, seal plan and seal support systems shown.</t>
  </si>
  <si>
    <t>D-2.9</t>
  </si>
  <si>
    <t>Compressors/blowers: anti-surge/recycle, lube &amp; seal oil systems, interstage coolers/KO drums shown or referenced to vendor P&amp;IDs.</t>
  </si>
  <si>
    <t>D-2.10</t>
  </si>
  <si>
    <t>Heat exchangers: TEMA type consistent with datasheet; shell/tube side services correct; vents, drains, and thermal relief provided.</t>
  </si>
  <si>
    <t>D-2.11</t>
  </si>
  <si>
    <t>Fired heaters/boilers: fuel gas, pilot, BMS interfaces, decoking/snuffing connections shown or referenced.</t>
  </si>
  <si>
    <t>D-2.12</t>
  </si>
  <si>
    <t>Tanks: blanketing, PVRV/breather valves, overflow, gauging and sampling connections shown per API 2000 requirements.</t>
  </si>
  <si>
    <t>D-2.13</t>
  </si>
  <si>
    <t>Packaged units: battery-limit interfaces match vendor P&amp;IDs; scope split clearly clouded/noted; duplicate tags avoided.</t>
  </si>
  <si>
    <t>D-2.14</t>
  </si>
  <si>
    <t>Equipment insulation/personnel-protection requirements indicated consistent with the insulation specification.</t>
  </si>
  <si>
    <t>D-2.15</t>
  </si>
  <si>
    <t>Spare/future equipment clearly identified with correct valving and spading arrangements.</t>
  </si>
  <si>
    <t>D-3.1</t>
  </si>
  <si>
    <t>3. PIPING — LINES, SPECS &amp; LAYOUT REQUIREMENTS</t>
  </si>
  <si>
    <t>Every line has a unique, complete line number (size – service – sequence – spec – insulation) matching the line list.</t>
  </si>
  <si>
    <t>D-3.2</t>
  </si>
  <si>
    <t>Line sizes agree with the line list and hydraulic calculations; size changes shown with reducers at the correct location.</t>
  </si>
  <si>
    <t>D-3.3</t>
  </si>
  <si>
    <t>Piping class/spec breaks are shown at the correct location with the correct spec-break symbol, and rating logic is defensible (block valve + spec break orientation).</t>
  </si>
  <si>
    <t>D-3.4</t>
  </si>
  <si>
    <t>Flow direction arrows shown on all lines and consistent with process intent.</t>
  </si>
  <si>
    <t>D-3.5</t>
  </si>
  <si>
    <t>Design/operating conditions of lines consistent with connected equipment and relief design basis.</t>
  </si>
  <si>
    <t>D-3.6</t>
  </si>
  <si>
    <t>Slope requirements (gravity lines, flare headers, drains) are noted with direction and minimum slope.</t>
  </si>
  <si>
    <t>D-3.7</t>
  </si>
  <si>
    <t>'No pocket', 'free draining', 'minimize length', and symmetry requirements noted where process-critical (relief lines, compressor suction, two-phase flow).</t>
  </si>
  <si>
    <t>D-3.8</t>
  </si>
  <si>
    <t>High-point vents and low-point drains provided per specification (indicated or covered by typical/general note).</t>
  </si>
  <si>
    <t>D-3.9</t>
  </si>
  <si>
    <t>Sample connections shown with correct type (closed-loop sampler where required), valving, and accessibility.</t>
  </si>
  <si>
    <t>D-3.10</t>
  </si>
  <si>
    <t>Utility connections/hose stations (N2, air, steam, water) shown at required locations with correct spec and check valve/isolation arrangements.</t>
  </si>
  <si>
    <t>D-3.11</t>
  </si>
  <si>
    <t>Line continuation between P&amp;IDs: size, spec, insulation, and tracing all consistent at match points.</t>
  </si>
  <si>
    <t>D-3.12</t>
  </si>
  <si>
    <t>Reducers, expanders, and eccentric/concentric requirements noted where relevant (pump suction eccentric FSD/FSU).</t>
  </si>
  <si>
    <t>D-3.13</t>
  </si>
  <si>
    <t>Strainers (permanent/temporary/conical) shown at pump/compressor suctions and control valves as per specification.</t>
  </si>
  <si>
    <t>D-3.14</t>
  </si>
  <si>
    <t>Special piping items (SP items) tagged and listed in the special piping item list.</t>
  </si>
  <si>
    <t>D-3.15</t>
  </si>
  <si>
    <t>Pipe expansion/flexibility items (expansion joints, spring supports flagged as SP) shown where applicable.</t>
  </si>
  <si>
    <t>D-3.16</t>
  </si>
  <si>
    <t>Dead legs avoided or justified; provisions for flushing/pigging shown where required.</t>
  </si>
  <si>
    <t>D-3.17</t>
  </si>
  <si>
    <t>Bypass, warm-up, and startup lines provided where required by operating philosophy.</t>
  </si>
  <si>
    <t>D-3.18</t>
  </si>
  <si>
    <t>Chemical injection points: quill/injector type, isolation, check valve, and accessibility per specification.</t>
  </si>
  <si>
    <t>D-4.1</t>
  </si>
  <si>
    <t>4. VALVES &amp; MANUAL ISOLATION</t>
  </si>
  <si>
    <t>All valves shown with correct symbol, size (if different from line), and type per the piping material specification.</t>
  </si>
  <si>
    <t>D-4.2</t>
  </si>
  <si>
    <t>Isolation philosophy (single valve, double block &amp; bleed, spade/spectacle blind) meets project/HSE requirements for the service and pressure class.</t>
  </si>
  <si>
    <t>D-4.3</t>
  </si>
  <si>
    <t>Spectacle blinds, spades, and spacers shown for maintenance isolation and positive isolation (equipment entry, battery limits).</t>
  </si>
  <si>
    <t>D-4.4</t>
  </si>
  <si>
    <t>Valve failure positions (FO/FC/FL) shown for all actuated valves and consistent with cause &amp; effect / safety analysis.</t>
  </si>
  <si>
    <t>D-4.5</t>
  </si>
  <si>
    <t>Locked-open (LO) / locked-closed (LC) / car-sealed (CSO/CSC) valves identified per relief path and safety requirements.</t>
  </si>
  <si>
    <t>D-4.6</t>
  </si>
  <si>
    <t>Check valves provided where reverse flow must be prevented (pump/compressor discharge, utility connections, injection points).</t>
  </si>
  <si>
    <t>D-4.7</t>
  </si>
  <si>
    <t>Control valve manifolds: upstream/downstream block valves, bypass (globe) valve, drain between valves per project standard; handwheel requirement noted.</t>
  </si>
  <si>
    <t>D-4.8</t>
  </si>
  <si>
    <t>Vent/drain valves plugged, capped, or blinded per specification.</t>
  </si>
  <si>
    <t>D-4.9</t>
  </si>
  <si>
    <t>Valves accessibility/operability considerations noted (chain wheels, extended stems, platforms) where flagged by plot plan review.</t>
  </si>
  <si>
    <t>D-4.10</t>
  </si>
  <si>
    <t>Actuated valve accessories (limit switches ZSO/ZSC, solenoids, positioners) shown consistent with instrument index.</t>
  </si>
  <si>
    <t>D-4.11</t>
  </si>
  <si>
    <t>PSV isolation valves (inlet/outlet) are full bore, locked open, and interlocked per API 520/526 and project philosophy.</t>
  </si>
  <si>
    <t>D-4.12</t>
  </si>
  <si>
    <t>Line blind symbols and 'removable spool' notations shown where positive isolation is achieved by spool removal.</t>
  </si>
  <si>
    <t>D-5.1</t>
  </si>
  <si>
    <t>5. INSTRUMENTATION &amp; CONTROL</t>
  </si>
  <si>
    <t>All instruments shown with correct ISA tag numbers, unique across the project, and matching the instrument index.</t>
  </si>
  <si>
    <t>D-5.2</t>
  </si>
  <si>
    <t>Instrument bubbles show correct location/accessibility designation (field, local panel, DCS, ESD/SIS) per legend.</t>
  </si>
  <si>
    <t>D-5.3</t>
  </si>
  <si>
    <t>Control loops are complete: sensing element, transmitter, controller, and final element all shown and correctly connected.</t>
  </si>
  <si>
    <t>D-5.4</t>
  </si>
  <si>
    <t>Signal line types (electric, pneumatic, software/data link, capillary) drawn per legend and used consistently.</t>
  </si>
  <si>
    <t>D-5.5</t>
  </si>
  <si>
    <t>Set points, alarm points (H/HH/L/LL), and trip functions shown or referenced to the alarm &amp; trip schedule.</t>
  </si>
  <si>
    <t>D-5.6</t>
  </si>
  <si>
    <t>SIS/ESD functions clearly distinguished from BPCS (separate tags/logic identifiers, e.g., interlock symbols/SIF numbers), consistent with the cause &amp; effect diagram and SRS.</t>
  </si>
  <si>
    <t>D-5.7</t>
  </si>
  <si>
    <t>Interlock and permissive logic references (I-xxx) shown at all affected devices, matching cause &amp; effect diagrams.</t>
  </si>
  <si>
    <t>D-5.8</t>
  </si>
  <si>
    <t>Control valve data: size, failure position, tightness class where required, and bypass/handjack per datasheet.</t>
  </si>
  <si>
    <t>D-5.9</t>
  </si>
  <si>
    <t>Flow elements: type (orifice, venturi, coriolis, magnetic, ultrasonic), meter runs/straight-length requirements noted.</t>
  </si>
  <si>
    <t>D-5.10</t>
  </si>
  <si>
    <t>Level instruments: type, nozzle locations, standpipes/bridles, gauge glasses visible from operating position; ranges cover alarm/trip levels.</t>
  </si>
  <si>
    <t>D-5.11</t>
  </si>
  <si>
    <t>Pressure/temperature instruments: correct process connections, thermowells shown, test/calibration connections per spec.</t>
  </si>
  <si>
    <t>D-5.12</t>
  </si>
  <si>
    <t>Analyzers: sample take-off, fast loop, sample conditioning, and return/disposal shown or referenced to analyzer P&amp;IDs.</t>
  </si>
  <si>
    <t>D-5.13</t>
  </si>
  <si>
    <t>Instrument isolation, vent, and drain valving (manifolds) per project installation standards.</t>
  </si>
  <si>
    <t>D-5.14</t>
  </si>
  <si>
    <t>Local gauges (PG/TG/LG) provided at required locations (pump discharge, vessel levels, filter dP).</t>
  </si>
  <si>
    <t>D-5.15</t>
  </si>
  <si>
    <t>Instrument air/power supply requirements referenced where relevant (e.g., air failure behavior).</t>
  </si>
  <si>
    <t>D-5.16</t>
  </si>
  <si>
    <t>MOV/actuated valve torque/thrust or fail-safe accessories consistent with electrical &amp; instrumentation design.</t>
  </si>
  <si>
    <t>D-5.17</t>
  </si>
  <si>
    <t>Field pushbuttons, local panels, and hand switches (HS) shown where required by operating philosophy.</t>
  </si>
  <si>
    <t>D-5.18</t>
  </si>
  <si>
    <t>Redundancy/voting (2oo3, 1oo2) of SIS transmitters shown consistent with SIL assessment.</t>
  </si>
  <si>
    <t>D-6.1</t>
  </si>
  <si>
    <t>6. RELIEF, FLARE &amp; SAFETY SYSTEMS</t>
  </si>
  <si>
    <t>Every credible overpressure source is protected: PSV/PRV, rupture disc, thermal relief, or documented inherent protection per API 521 study.</t>
  </si>
  <si>
    <t>D-6.2</t>
  </si>
  <si>
    <t>Relief device tag, set pressure, and (where project standard requires) size/orifice designation shown and matching relief datasheets.</t>
  </si>
  <si>
    <t>D-6.3</t>
  </si>
  <si>
    <t>Relief inlet/outlet line sizes match relief sizing calculations (inlet dP ≤ 3%, backpressure limits respected).</t>
  </si>
  <si>
    <t>D-6.4</t>
  </si>
  <si>
    <t>Rupture disc + PSV combinations show burst indication (excess flow/pressure gauge) between disc and valve.</t>
  </si>
  <si>
    <t>D-6.5</t>
  </si>
  <si>
    <t>Discharge routing correct (flare, atmosphere at safe location, closed drain) per disposition philosophy; atmospheric tailpipes per safe-location criteria.</t>
  </si>
  <si>
    <t>D-6.6</t>
  </si>
  <si>
    <t>Flare headers: sloped to KO drum, no pockets, purge (N2/FG) connections, and molecular seal/liquid seal shown as applicable.</t>
  </si>
  <si>
    <t>D-6.7</t>
  </si>
  <si>
    <t>Thermal relief valves provided for blocked-in liquid volumes (long pipe runs, coolers, LPG lines) per project criteria.</t>
  </si>
  <si>
    <t>D-6.8</t>
  </si>
  <si>
    <t>Vacuum protection provided where credible (steam-out, pump-out, cooling of full vessels).</t>
  </si>
  <si>
    <t>D-6.9</t>
  </si>
  <si>
    <t>PSV bypass/blowdown around relief devices per maintenance philosophy; spare relief valve arrangements correct.</t>
  </si>
  <si>
    <t>D-6.10</t>
  </si>
  <si>
    <t>Emergency depressurization (blowdown) valves, restriction orifices, and routing per API 521 depressurization study.</t>
  </si>
  <si>
    <t>D-6.11</t>
  </si>
  <si>
    <t>Fire case, blocked outlet, control valve failure, and tube rupture scenarios traced and consistent with relief documentation.</t>
  </si>
  <si>
    <t>D-6.12</t>
  </si>
  <si>
    <t>Safety showers/eye washes shown or referenced where hazardous chemicals handled.</t>
  </si>
  <si>
    <t>D-6.13</t>
  </si>
  <si>
    <t>Flame arrestors/detonation arrestors shown where required (atmospheric tanks, vent systems).</t>
  </si>
  <si>
    <t>D-6.14</t>
  </si>
  <si>
    <t>Car seal/interlock strategy on relief path block valves guarantees relief availability in all operating modes.</t>
  </si>
  <si>
    <t>D-7.1</t>
  </si>
  <si>
    <t>7. VENTS, DRAINS &amp; DISPOSAL SYSTEMS</t>
  </si>
  <si>
    <t>Process vents routed to correct destination (flare, atmosphere, vent header) per emission/disposition philosophy.</t>
  </si>
  <si>
    <t>D-7.2</t>
  </si>
  <si>
    <t>Closed drain and open drain systems segregated correctly (hydrocarbon vs. non-hazardous, hot vs. cold).</t>
  </si>
  <si>
    <t>D-7.3</t>
  </si>
  <si>
    <t>Equipment drainage: all vessels/exchangers/pumps drain to appropriate system with adequate valving.</t>
  </si>
  <si>
    <t>D-7.4</t>
  </si>
  <si>
    <t>Funnel/tundish connections shown with air gap where required; sealed drains where hazardous.</t>
  </si>
  <si>
    <t>D-7.5</t>
  </si>
  <si>
    <t>Maintenance drain/flush/steam-out connections provided for equipment preparation.</t>
  </si>
  <si>
    <t>D-7.6</t>
  </si>
  <si>
    <t>Drain headers sloped and sized; seal loops/traps shown where required to prevent gas migration.</t>
  </si>
  <si>
    <t>D-7.7</t>
  </si>
  <si>
    <t>Tank/vessel overflow lines routed safely with adequate capacity and correct discharge location.</t>
  </si>
  <si>
    <t>D-8.1</t>
  </si>
  <si>
    <t>8. UTILITIES, INSULATION &amp; HEAT TRACING</t>
  </si>
  <si>
    <t>Utility distribution consistent with utility flow diagrams (UFDs); supply/return headers correctly sized and specced.</t>
  </si>
  <si>
    <t>D-8.2</t>
  </si>
  <si>
    <t>Steam traps shown with correct type/orientation; condensate routed to correct recovery/disposal system.</t>
  </si>
  <si>
    <t>D-8.3</t>
  </si>
  <si>
    <t>Steam/electric tracing indicated on all lines requiring it per line list; tracing supply/return shown or covered by note.</t>
  </si>
  <si>
    <t>D-8.4</t>
  </si>
  <si>
    <t>Insulation type and thickness codes (H/C/P/PP etc.) on all lines/equipment match line list and insulation spec.</t>
  </si>
  <si>
    <t>D-8.5</t>
  </si>
  <si>
    <t>Winterization measures complete for lines subject to freezing (dead legs, instrument legs, intermittent lines).</t>
  </si>
  <si>
    <t>D-8.6</t>
  </si>
  <si>
    <t>Nitrogen/inert gas connections: check valve + isolation per backflow-prevention standard; no permanent cross-connections between utility and process.</t>
  </si>
  <si>
    <t>D-8.7</t>
  </si>
  <si>
    <t>Cooling water supply/return: correct flow direction, vents at high points, thermal relief on blocked-in exchangers.</t>
  </si>
  <si>
    <t>D-8.8</t>
  </si>
  <si>
    <t>Instrument air / plant air segregation correct; air receivers and dryers referenced correctly.</t>
  </si>
  <si>
    <t>D-8.9</t>
  </si>
  <si>
    <t>Fuel gas conditioning (KO drum, filters, heaters) shown for consumers per vendor requirements.</t>
  </si>
  <si>
    <t>D-8.10</t>
  </si>
  <si>
    <t>Potable/utility water cross-connection protection (backflow preventers) shown where required.</t>
  </si>
  <si>
    <t>D-9.1</t>
  </si>
  <si>
    <t>9. PROCESS SAFETY / HAZOP &amp; OPERABILITY</t>
  </si>
  <si>
    <t>All HAZOP/LOPA/SIL action items affecting this P&amp;ID are incorporated and closed out (verify against action register).</t>
  </si>
  <si>
    <t>D-9.2</t>
  </si>
  <si>
    <t>Design conforms to overpressure protection philosophy and equipment design-pressure hierarchy (no unprotected LP equipment exposed to HP source).</t>
  </si>
  <si>
    <t>D-9.3</t>
  </si>
  <si>
    <t>Startup, shutdown, regeneration, and alternative operating modes can be executed with the valving/instrumentation shown.</t>
  </si>
  <si>
    <t>D-9.4</t>
  </si>
  <si>
    <t>Pressurization/depressurization, purging, and inerting paths available for commissioning and maintenance.</t>
  </si>
  <si>
    <t>D-9.5</t>
  </si>
  <si>
    <t>Isolation for maintenance meets energy-isolation standard for every maintainable item (pumps, control valves, instruments, exchangers).</t>
  </si>
  <si>
    <t>D-9.6</t>
  </si>
  <si>
    <t>Adequate provisions to avoid siphoning, backflow, and inadvertent mixing of incompatible services.</t>
  </si>
  <si>
    <t>D-9.7</t>
  </si>
  <si>
    <t>Relief and blowdown philosophy consistent across all operating modes (including standby equipment lineups).</t>
  </si>
  <si>
    <t>D-9.8</t>
  </si>
  <si>
    <t>Human factors: critical manual valves and instruments operable/readable from grade/platform (coordinate with plot plan/3D review).</t>
  </si>
  <si>
    <t>D-9.9</t>
  </si>
  <si>
    <t>Emergency isolation valves (EIV/ESDV/ROSOV) located per fire-safety study; fire-safe valve requirement noted.</t>
  </si>
  <si>
    <t>D-9.10</t>
  </si>
  <si>
    <t>Hazardous area / material hazard notes (e.g., H2S, HF, hot service) shown where required by project HSE standard.</t>
  </si>
  <si>
    <t>D-10.1</t>
  </si>
  <si>
    <t>10. TIE-INS, VENDOR PACKAGES &amp; INTERFACES</t>
  </si>
  <si>
    <t>All tie-in points to existing facilities tagged, listed in the tie-in schedule, and shown with correct isolation/spading.</t>
  </si>
  <si>
    <t>D-10.2</t>
  </si>
  <si>
    <t>Tie-in type (hot tap, cold cut, existing valve) and existing line data verified against as-built drawings.</t>
  </si>
  <si>
    <t>D-10.3</t>
  </si>
  <si>
    <t>Vendor package battery limits match vendor P&amp;IDs (nozzle sizes, ratings, specs, instrumentation split).</t>
  </si>
  <si>
    <t>D-10.4</t>
  </si>
  <si>
    <t>Free-issue vs. vendor-scope instrumentation/valves clearly identified; no gaps or duplications at interfaces.</t>
  </si>
  <si>
    <t>D-10.5</t>
  </si>
  <si>
    <t>Interface signals between package unit control panels and plant DCS/SIS referenced consistently.</t>
  </si>
  <si>
    <t>D-10.6</t>
  </si>
  <si>
    <t>Future connections shown with correct termination (blind flange, isolation valve, spade) and labelled 'FUTURE'.</t>
  </si>
  <si>
    <t>D-10.7</t>
  </si>
  <si>
    <t>Underground/aboveground transition points shown where relevant to scope split.</t>
  </si>
  <si>
    <t>D-11.1</t>
  </si>
  <si>
    <t>11. CONSISTENCY WITH OTHER ENGINEERING DOCUMENTS</t>
  </si>
  <si>
    <t>Line list: every line on the P&amp;ID appears in the line list with identical data (size, spec, conditions, insulation, test).</t>
  </si>
  <si>
    <t>D-11.2</t>
  </si>
  <si>
    <t>Equipment list and datasheets: tags, duties, and design conditions consistent.</t>
  </si>
  <si>
    <t>D-11.3</t>
  </si>
  <si>
    <t>Instrument index and datasheets: every instrument bubble matches index; no orphan tags in either document.</t>
  </si>
  <si>
    <t>D-11.4</t>
  </si>
  <si>
    <t>Cause &amp; effect diagrams / SAFE chart: all trip functions, interlocks, and final elements consistent.</t>
  </si>
  <si>
    <t>D-11.5</t>
  </si>
  <si>
    <t>Plot plan / 3D model: equipment arrangement, elevations for gravity flow, and NPSH-critical layouts consistent.</t>
  </si>
  <si>
    <t>D-11.6</t>
  </si>
  <si>
    <t>Electrical single-line/load list: motor tags, MOVs, and electric heaters consistent.</t>
  </si>
  <si>
    <t>D-11.7</t>
  </si>
  <si>
    <t>Isometrics/MTO basis: special items, spec breaks, and insulation limits align with piping deliverables.</t>
  </si>
  <si>
    <t>D-11.8</t>
  </si>
  <si>
    <t>Process safeguarding memorandum / relief register: all relief devices and safeguarding measures reconciled.</t>
  </si>
  <si>
    <t>C-1.1</t>
  </si>
  <si>
    <t>Part C — Consistency Checks (Internal &amp; Cross-Document)</t>
  </si>
  <si>
    <t>1. INTERNAL CONSISTENCY — WITHIN THE P&amp;ID SET</t>
  </si>
  <si>
    <t>Every off-page connector/continuation arrow points to an existing drawing, and the receiving drawing shows the matching return arrow (check both directions).</t>
  </si>
  <si>
    <t>C-1.2</t>
  </si>
  <si>
    <t>At every match point between sheets: line number, size, piping class, insulation code, and tracing are identical on both drawings.</t>
  </si>
  <si>
    <t>C-1.3</t>
  </si>
  <si>
    <t>Flow direction is consistent across sheet boundaries (no line reversing direction at a match line).</t>
  </si>
  <si>
    <t>C-1.4</t>
  </si>
  <si>
    <t>Design conditions implied on both sides of a continuation are compatible (no silent spec/rating change at the sheet break).</t>
  </si>
  <si>
    <t>C-1.5</t>
  </si>
  <si>
    <t>Equipment shown on multiple sheets (e.g., a column on two sheets) carries identical tag, title-block data, and nozzle allocation.</t>
  </si>
  <si>
    <t>C-1.6</t>
  </si>
  <si>
    <t>No duplicate tag numbers anywhere in the set — lines, equipment, instruments, relief devices, SP items, tie-ins.</t>
  </si>
  <si>
    <t>C-1.7</t>
  </si>
  <si>
    <t>No orphan references: every 'see note X', 'typical detail Y', 'HOLD n', and interlock reference points to something that exists.</t>
  </si>
  <si>
    <t>C-1.8</t>
  </si>
  <si>
    <t>Symbols and abbreviations used match the project legend sheets; the same item type is drawn the same way on every sheet.</t>
  </si>
  <si>
    <t>C-1.9</t>
  </si>
  <si>
    <t>General notes are not contradicted by drawing content on any sheet (e.g., note says 'all drains 3/4 in.' but a 1 in. drain is drawn).</t>
  </si>
  <si>
    <t>C-1.10</t>
  </si>
  <si>
    <t>Typical details, when referenced, actually apply to the location referencing them (correct size range, service, arrangement).</t>
  </si>
  <si>
    <t>C-1.11</t>
  </si>
  <si>
    <t>Revision clouds correspond to actual changes and the revision description; no unclouded changes since the previous issue (spot-check by overlay/compare).</t>
  </si>
  <si>
    <t>C-1.12</t>
  </si>
  <si>
    <t>HOLD clouds on drawings reconcile one-to-one with the HOLD register (no unregistered clouds, no registered HOLDs missing from drawings).</t>
  </si>
  <si>
    <t>C-1.13</t>
  </si>
  <si>
    <t>Interlock/SIF numbers used at initiator and at final element refer to the same function on every sheet where they appear.</t>
  </si>
  <si>
    <t>C-1.14</t>
  </si>
  <si>
    <t>Utility headers on process sheets match the corresponding utility distribution P&amp;ID (size, spec, branch location, valve arrangement).</t>
  </si>
  <si>
    <t>C-1.15</t>
  </si>
  <si>
    <t>Relief device shown on a process sheet matches its representation on the flare/collection header sheet (tag, tailpipe size, destination).</t>
  </si>
  <si>
    <t>C-2.1</t>
  </si>
  <si>
    <t>2. P&amp;ID vs PFD / HEAT &amp; MATERIAL BALANCE</t>
  </si>
  <si>
    <t>Every equipment item on the PFD appears on a P&amp;ID and vice versa (no undocumented additions/deletions).</t>
  </si>
  <si>
    <t>C-2.2</t>
  </si>
  <si>
    <t>Process configuration (series/parallel, recycle, bypass structure) identical between PFD and P&amp;ID.</t>
  </si>
  <si>
    <t>C-2.3</t>
  </si>
  <si>
    <t>Stream routing on P&amp;ID matches PFD stream connectivity; no flow path exists on one and not the other.</t>
  </si>
  <si>
    <t>C-2.4</t>
  </si>
  <si>
    <t>Line sizes on P&amp;ID are consistent with H&amp;MB flow rates and the hydraulic calculation basis.</t>
  </si>
  <si>
    <t>C-2.5</t>
  </si>
  <si>
    <t>Operating conditions noted on P&amp;ID (where shown) match the H&amp;MB for the governing case.</t>
  </si>
  <si>
    <t>C-2.6</t>
  </si>
  <si>
    <t>Major control loops shown on the PFD (control intent) appear on the P&amp;ID with the same measured/manipulated variables.</t>
  </si>
  <si>
    <t>C-2.7</t>
  </si>
  <si>
    <t>Equipment duty/capacity in P&amp;ID title blocks matches PFD/H&amp;MB data.</t>
  </si>
  <si>
    <t>C-2.8</t>
  </si>
  <si>
    <t>PFD revision referenced by the P&amp;ID set is the current approved revision.</t>
  </si>
  <si>
    <t>C-3.1</t>
  </si>
  <si>
    <t>3. P&amp;ID vs LINE LIST</t>
  </si>
  <si>
    <t>Every line number on the P&amp;IDs exists in the line list; every line-list entry appears on a P&amp;ID (two-way check, no orphans either way).</t>
  </si>
  <si>
    <t>C-3.2</t>
  </si>
  <si>
    <t>Line size on drawing = line size in list, for every line including short branches that carry their own number.</t>
  </si>
  <si>
    <t>C-3.3</t>
  </si>
  <si>
    <t>Piping class/spec on drawing = spec in list; spec breaks on the drawing occur where the list changes spec.</t>
  </si>
  <si>
    <t>C-3.4</t>
  </si>
  <si>
    <t>Insulation class and thickness code identical between drawing and list.</t>
  </si>
  <si>
    <t>C-3.5</t>
  </si>
  <si>
    <t>Heat tracing (type: steam/electric) shown on the drawing wherever the list requires it, and not shown where it doesn't.</t>
  </si>
  <si>
    <t>C-3.6</t>
  </si>
  <si>
    <t>Design and operating P/T in the line list are consistent with the systems the line connects to on the P&amp;ID (and with relief protection).</t>
  </si>
  <si>
    <t>C-3.7</t>
  </si>
  <si>
    <t>'From / To' fields in the line list match the actual origin and destination shown on the drawings.</t>
  </si>
  <si>
    <t>C-3.8</t>
  </si>
  <si>
    <t>Test pressure/test medium and code class fields in the list are consistent with the drawing's spec and service.</t>
  </si>
  <si>
    <t>C-3.9</t>
  </si>
  <si>
    <t>Slope, no-pocket, free-drain and other special requirement flags agree between list and drawing notes.</t>
  </si>
  <si>
    <t>C-4.1</t>
  </si>
  <si>
    <t>4. P&amp;ID vs EQUIPMENT LIST &amp; DATASHEETS</t>
  </si>
  <si>
    <t>Every equipment tag on the P&amp;IDs exists in the equipment list and vice versa (two-way check).</t>
  </si>
  <si>
    <t>C-4.2</t>
  </si>
  <si>
    <t>Service description in P&amp;ID title block matches the equipment list wording.</t>
  </si>
  <si>
    <t>C-4.3</t>
  </si>
  <si>
    <t>Design pressure/temperature in P&amp;ID equipment data matches the mechanical datasheet.</t>
  </si>
  <si>
    <t>C-4.4</t>
  </si>
  <si>
    <t>Capacity/duty/size figures on the P&amp;ID match the process datasheet.</t>
  </si>
  <si>
    <t>C-4.5</t>
  </si>
  <si>
    <t>Materials of construction noted on the P&amp;ID (where shown) match the datasheet.</t>
  </si>
  <si>
    <t>C-4.6</t>
  </si>
  <si>
    <t>Nozzle schedule on the datasheet reconciles with nozzles used on the P&amp;ID (size, rating, service of each nozzle; spares consistent).</t>
  </si>
  <si>
    <t>C-4.7</t>
  </si>
  <si>
    <t>Trim/internals shown on the P&amp;ID (demister, vortex breaker, distributor) appear in the datasheet and vice versa.</t>
  </si>
  <si>
    <t>C-4.8</t>
  </si>
  <si>
    <t>Insulation / personnel protection requirement on the P&amp;ID matches the datasheet and insulation schedule.</t>
  </si>
  <si>
    <t>C-4.9</t>
  </si>
  <si>
    <t>Equipment design conditions are compatible with the design conditions of all connected lines (no line rated below its equipment without justification).</t>
  </si>
  <si>
    <t>C-5.1</t>
  </si>
  <si>
    <t>5. P&amp;ID vs INSTRUMENT INDEX &amp; DATASHEETS</t>
  </si>
  <si>
    <t>Every instrument bubble on the P&amp;IDs exists in the instrument index and vice versa (two-way check, including soft tags if project convention includes them).</t>
  </si>
  <si>
    <t>C-5.2</t>
  </si>
  <si>
    <t>Tag service descriptions in the index match the P&amp;ID service/location.</t>
  </si>
  <si>
    <t>C-5.3</t>
  </si>
  <si>
    <t>Instrument type per index (e.g., vortex FT vs. coriolis) matches the P&amp;ID symbol and any type note.</t>
  </si>
  <si>
    <t>C-5.4</t>
  </si>
  <si>
    <t>P&amp;ID location symbol (field / local panel / DCS / SIS) matches the index system allocation for every tag.</t>
  </si>
  <si>
    <t>C-5.5</t>
  </si>
  <si>
    <t>Line number/size and equipment tag referenced in the index for each instrument match where the instrument is actually drawn.</t>
  </si>
  <si>
    <t>C-5.6</t>
  </si>
  <si>
    <t>Control valve datasheets: tag, size, failure position, and line spec consistent with the P&amp;ID.</t>
  </si>
  <si>
    <t>C-5.7</t>
  </si>
  <si>
    <t>I/O type implied by the P&amp;ID (indication only vs. control vs. trip) matches the index signal/function columns.</t>
  </si>
  <si>
    <t>C-5.8</t>
  </si>
  <si>
    <t>Alarm and trip functions on the P&amp;ID (H/HH/L/LL flags) match the alarm &amp; trip schedule set-point list.</t>
  </si>
  <si>
    <t>C-5.9</t>
  </si>
  <si>
    <t>Thermowell/process connection details implied on the P&amp;ID consistent with installation datasheets.</t>
  </si>
  <si>
    <t>C-6.1</t>
  </si>
  <si>
    <t>6. P&amp;ID vs CAUSE &amp; EFFECT / SIS DOCUMENTATION</t>
  </si>
  <si>
    <t>Every initiator (transmitter/switch) in the C&amp;E diagram appears on the P&amp;ID with matching tag and trip designation (HH/LL).</t>
  </si>
  <si>
    <t>C-6.2</t>
  </si>
  <si>
    <t>Every final element (SDV, BDV, motor trip) in the C&amp;E appears on the P&amp;ID with matching tag and failure position.</t>
  </si>
  <si>
    <t>C-6.3</t>
  </si>
  <si>
    <t>Interlock/SIF numbers on the P&amp;ID match the C&amp;E and SRS numbering one-to-one.</t>
  </si>
  <si>
    <t>C-6.4</t>
  </si>
  <si>
    <t>Voting architecture shown on the P&amp;ID (e.g., 2oo3 transmitters drawn) matches the SRS/SIL calculation basis.</t>
  </si>
  <si>
    <t>C-6.5</t>
  </si>
  <si>
    <t>Failure positions (FO/FC) on the P&amp;ID produce the safe state defined in the C&amp;E for every trip scenario.</t>
  </si>
  <si>
    <t>C-6.6</t>
  </si>
  <si>
    <t>No shutdown function exists on the P&amp;ID that is absent from the C&amp;E, and vice versa.</t>
  </si>
  <si>
    <t>C-6.7</t>
  </si>
  <si>
    <t>Reset/bypass/override provisions (MOS/POS) referenced consistently between P&amp;ID notes and SIS documentation.</t>
  </si>
  <si>
    <t>C-6.8</t>
  </si>
  <si>
    <t>Package unit trips (vendor C&amp;E) reconcile with plant C&amp;E and with the interface signals shown on the P&amp;ID.</t>
  </si>
  <si>
    <t>C-7.1</t>
  </si>
  <si>
    <t>7. P&amp;ID vs RELIEF DOCUMENTATION</t>
  </si>
  <si>
    <t>Every relief device on the P&amp;IDs exists in the relief register/datasheets and vice versa (two-way check).</t>
  </si>
  <si>
    <t>C-7.2</t>
  </si>
  <si>
    <t>Set pressures on the P&amp;ID match relief datasheets and do not exceed the design pressure of the protected system per the line list/equipment datasheets.</t>
  </si>
  <si>
    <t>C-7.3</t>
  </si>
  <si>
    <t>Orifice designation/size on the P&amp;ID (where shown) matches the sizing calculation.</t>
  </si>
  <si>
    <t>C-7.4</t>
  </si>
  <si>
    <t>Inlet and outlet line sizes on the P&amp;ID match the relief calculation's assumed sizes (3% inlet loss, backpressure basis).</t>
  </si>
  <si>
    <t>C-7.5</t>
  </si>
  <si>
    <t>Discharge destination on the P&amp;ID (flare/atm/closed drain) matches the disposition listed in the relief register.</t>
  </si>
  <si>
    <t>C-7.6</t>
  </si>
  <si>
    <t>Protected-system boundary assumed in the relief calculation matches the actual isolatable boundary drawn on the P&amp;ID (block valve positions, check valves, car seals).</t>
  </si>
  <si>
    <t>C-7.7</t>
  </si>
  <si>
    <t>Car-seal/lock status of valves in every relief path on the P&amp;ID matches the relief philosophy and register.</t>
  </si>
  <si>
    <t>C-7.8</t>
  </si>
  <si>
    <t>Rupture disc / PSV combinations drawn as per datasheet configuration (disc upstream, burst indication, spacer).</t>
  </si>
  <si>
    <t>C-7.9</t>
  </si>
  <si>
    <t>Flare header segment sizes on P&amp;IDs match the flare system sizing report; KO drum and seal data consistent with datasheets.</t>
  </si>
  <si>
    <t>C-7.10</t>
  </si>
  <si>
    <t>Depressurization valves and restriction orifices match the blowdown study (RO bore, BDV size, segment inventory boundaries).</t>
  </si>
  <si>
    <t>C-8.1</t>
  </si>
  <si>
    <t>8. P&amp;ID vs PIPING SPECS, VALVE SPECS &amp; SP ITEMS</t>
  </si>
  <si>
    <t>Every piping class code used on the P&amp;IDs exists in the project piping material specification.</t>
  </si>
  <si>
    <t>C-8.2</t>
  </si>
  <si>
    <t>Valve types drawn are available in the assigned piping class (no gate valve drawn where the spec has none for that size/rating).</t>
  </si>
  <si>
    <t>C-8.3</t>
  </si>
  <si>
    <t>Spec-break locations follow the spec-break philosophy (correct side of block valve, rating direction) at every occurrence.</t>
  </si>
  <si>
    <t>C-8.4</t>
  </si>
  <si>
    <t>All special piping items (SP) on the drawings exist in the SP item list with matching tag and description, and vice versa.</t>
  </si>
  <si>
    <t>C-8.5</t>
  </si>
  <si>
    <t>Branch sizes/types implied by the drawing are permitted by the spec branch table (or flagged as SP).</t>
  </si>
  <si>
    <t>C-8.6</t>
  </si>
  <si>
    <t>Flange ratings implied at equipment nozzles are compatible with the connecting line class.</t>
  </si>
  <si>
    <t>C-8.7</t>
  </si>
  <si>
    <t>Instrument connection sizes/types per drawing match the piping spec's instrument connection standard.</t>
  </si>
  <si>
    <t>C-9.1</t>
  </si>
  <si>
    <t>9. P&amp;ID vs PLOT PLAN / 3D MODEL / ISOMETRICS</t>
  </si>
  <si>
    <t>Relative equipment elevations required by the P&amp;ID (gravity flow, thermosiphon, barometric legs, NPSH) are achieved in the plot plan/3D model.</t>
  </si>
  <si>
    <t>C-9.2</t>
  </si>
  <si>
    <t>Slope and no-pocket requirements on the P&amp;ID are achievable in the modeled routing (verify flagged critical lines in 3D).</t>
  </si>
  <si>
    <t>C-9.3</t>
  </si>
  <si>
    <t>Line lengths critical to process (pump suction, relief inlet, compressor suction) consistent between P&amp;ID intent and model routing.</t>
  </si>
  <si>
    <t>C-9.4</t>
  </si>
  <si>
    <t>Valve accessibility/operability flags on the P&amp;ID (chain wheel, extended stem, platform) reflected in the 3D model review actions.</t>
  </si>
  <si>
    <t>C-9.5</t>
  </si>
  <si>
    <t>P&amp;ID-required items appear in isometrics: every valve, SP item, spec break, vent, drain, and instrument connection on the checked line.</t>
  </si>
  <si>
    <t>C-9.6</t>
  </si>
  <si>
    <t>Insulation limits on isometrics match P&amp;ID/line-list insulation extents.</t>
  </si>
  <si>
    <t>C-9.7</t>
  </si>
  <si>
    <t>Field-routed small-bore philosophy consistent between P&amp;ID notes and piping deliverable scope (nothing falls between the two).</t>
  </si>
  <si>
    <t>C-10.1</t>
  </si>
  <si>
    <t>10. P&amp;ID vs VENDOR / PACKAGE DOCUMENTATION</t>
  </si>
  <si>
    <t>Battery-limit interface table: every stream crossing the package boundary matches vendor P&amp;ID (size, rating, spec, flow direction, tag).</t>
  </si>
  <si>
    <t>C-10.2</t>
  </si>
  <si>
    <t>Vendor-supplied instrumentation and valves within the package match plant P&amp;ID representation (or are correctly shown as vendor scope).</t>
  </si>
  <si>
    <t>C-10.3</t>
  </si>
  <si>
    <t>No scope gaps or duplications: every interface item is in exactly one party's scope (check against division-of-responsibility document).</t>
  </si>
  <si>
    <t>C-10.4</t>
  </si>
  <si>
    <t>Vendor nozzle orientations/sizes on certified drawings match the plant P&amp;ID connections.</t>
  </si>
  <si>
    <t>C-10.5</t>
  </si>
  <si>
    <t>Utility requirements per vendor data (flows, pressures, connection sizes) match the utility connections drawn on plant P&amp;IDs.</t>
  </si>
  <si>
    <t>C-10.6</t>
  </si>
  <si>
    <t>Vendor relief devices discharging into plant systems are included in plant flare/vent load summation and drawn on the header P&amp;IDs.</t>
  </si>
  <si>
    <t>C-10.7</t>
  </si>
  <si>
    <t>Interface signals (hardwired/serial) between package panel and plant DCS/SIS consistent between vendor drawings and plant P&amp;ID/C&amp;E.</t>
  </si>
  <si>
    <t>C-11.1</t>
  </si>
  <si>
    <t>11. P&amp;ID vs ELECTRICAL &amp; OTHER DISCIPLINE DOCUMENTS</t>
  </si>
  <si>
    <t>Every motor-driven equipment tag on the P&amp;IDs appears in the electrical load list with matching tag and rating basis.</t>
  </si>
  <si>
    <t>C-11.2</t>
  </si>
  <si>
    <t>MOVs on the P&amp;IDs appear in the load list and the MOV schedule; failure/stayput behavior consistent.</t>
  </si>
  <si>
    <t>C-11.3</t>
  </si>
  <si>
    <t>Electric heaters/tracing on P&amp;IDs reconcile with the electrical load list and heat-tracing schedule.</t>
  </si>
  <si>
    <t>C-11.4</t>
  </si>
  <si>
    <t>Hazardous area classification drawings consistent with sources of release implied by the P&amp;ID (vents, drains, sample points).</t>
  </si>
  <si>
    <t>C-11.5</t>
  </si>
  <si>
    <t>Cathodic protection/earthing special requirements noted on P&amp;IDs (e.g., insulating joints) match the electrical design.</t>
  </si>
  <si>
    <t>C-11.6</t>
  </si>
  <si>
    <t>Civil/structural interfaces flagged on P&amp;IDs (loading racks, sumps, containment) consistent with civil drawings.</t>
  </si>
  <si>
    <t>C-12.1</t>
  </si>
  <si>
    <t>12. P&amp;ID vs UTILITY SUMMARY / UFDs</t>
  </si>
  <si>
    <t>Every utility consumer on process P&amp;IDs appears in the utility summary with matching demand basis.</t>
  </si>
  <si>
    <t>C-12.2</t>
  </si>
  <si>
    <t>Utility header sizes and configuration on distribution P&amp;IDs match the UFDs and utility balance.</t>
  </si>
  <si>
    <t>C-12.3</t>
  </si>
  <si>
    <t>Steam level (HP/MP/LP) supplied to each consumer matches the utility summary allocation.</t>
  </si>
  <si>
    <t>C-12.4</t>
  </si>
  <si>
    <t>Condensate routing per P&amp;ID matches the condensate balance/recovery scheme.</t>
  </si>
  <si>
    <t>C-12.5</t>
  </si>
  <si>
    <t>Nitrogen, instrument air, and fuel gas consumers reconcile two-way between P&amp;IDs and the respective balances.</t>
  </si>
  <si>
    <t>C-13.1</t>
  </si>
  <si>
    <t>13. P&amp;ID vs TIE-IN SCHEDULE &amp; AS-BUILT DOCUMENTATION (BROWNFIELD)</t>
  </si>
  <si>
    <t>Every tie-in symbol on the P&amp;IDs exists in the tie-in schedule and vice versa (two-way check, matching tag numbers).</t>
  </si>
  <si>
    <t>C-13.2</t>
  </si>
  <si>
    <t>Existing line data at each tie-in (size, spec, service, conditions) verified against as-built P&amp;IDs and site survey.</t>
  </si>
  <si>
    <t>C-13.3</t>
  </si>
  <si>
    <t>Tie-in type (hot tap / cold cut / existing valve / existing blind) consistent between drawing and schedule.</t>
  </si>
  <si>
    <t>C-13.4</t>
  </si>
  <si>
    <t>Isolation and spading requirements for tie-in execution shown consistently on drawing and schedule.</t>
  </si>
  <si>
    <t>C-13.5</t>
  </si>
  <si>
    <t>Existing equipment/line tags reused on new P&amp;IDs match the as-built numbering system exactly.</t>
  </si>
  <si>
    <t>C-13.6</t>
  </si>
  <si>
    <t>Demolition scope: items shown 'to be removed' consistent between demolition P&amp;IDs and the new-works drawings.</t>
  </si>
  <si>
    <t>C-14.1</t>
  </si>
  <si>
    <t>14. CHANGE MANAGEMENT, HAZOP ACTIONS &amp; HOLD CLOSE-OUT</t>
  </si>
  <si>
    <t>Every HAZOP/LOPA action marked 'implement on P&amp;ID' in the action register is visibly incorporated on the current revision (verify item by item).</t>
  </si>
  <si>
    <t>C-14.2</t>
  </si>
  <si>
    <t>Every management-of-change (MoC) affecting this unit since the last issue is reflected on the P&amp;IDs.</t>
  </si>
  <si>
    <t>C-14.3</t>
  </si>
  <si>
    <t>Design change notices/queries (DCN/TQ) affecting P&amp;IDs are incorporated and closed, with the revision cloud referencing them where required.</t>
  </si>
  <si>
    <t>C-14.4</t>
  </si>
  <si>
    <t>HOLD register: each HOLD closed since last issue has its cloud removed and the resolving information incorporated.</t>
  </si>
  <si>
    <t>C-14.5</t>
  </si>
  <si>
    <t>Squad-check comments from all disciplines on the previous issue are incorporated or formally rejected with response.</t>
  </si>
  <si>
    <t>C-14.6</t>
  </si>
  <si>
    <t>The set of documents used for this consistency check are all at their current approved revision (record revisions on the Cover sheet).</t>
  </si>
  <si>
    <t>AI CHECK REGISTER — RESULTS SUMMARY</t>
  </si>
  <si>
    <t>Group</t>
  </si>
  <si>
    <t>Checks</t>
  </si>
  <si>
    <t>No Result</t>
  </si>
  <si>
    <t>% Executed</t>
  </si>
  <si>
    <t>Part A — FEED Stage</t>
  </si>
  <si>
    <t>Part B — Detail Engineering</t>
  </si>
  <si>
    <t>Part C — Consistency Checks</t>
  </si>
  <si>
    <t>AUTO checks</t>
  </si>
  <si>
    <t>ASSIST checks</t>
  </si>
  <si>
    <t>HUMAN checks</t>
  </si>
  <si>
    <t>TOTAL (all checks)</t>
  </si>
  <si>
    <t>Rows 4–6 group by Part (column B of the register); rows 7–9 group by AI feasibility (column E). Register is complete when 'No Result' = 0 for AUTO and ASSIST groups, and every Fail / Not Checked row carries an engineer disposition.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</si>
</sst>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8" x14ac:knownFonts="1">
    <font>
      <sz val="11"/>
      <color theme="1"/>
      <name val="Calibri"/>
      <family val="2"/>
      <charset val="1"/>
    </font>
    <font>
      <b/>
      <sz val="14"/>
      <color rgb="FF7030A0"/>
      <name val="Arial"/>
      <charset val="1"/>
    </font>
    <font>
      <i/>
      <sz val="9"/>
      <name val="Arial"/>
      <charset val="1"/>
    </font>
    <font>
      <b/>
      <sz val="10"/>
      <name val="Arial"/>
      <charset val="1"/>
    </font>
    <font>
      <sz val="10"/>
      <color rgb="FF0000FF"/>
      <name val="Arial"/>
      <charset val="1"/>
    </font>
    <font>
      <b/>
      <sz val="10"/>
      <color rgb="FF7030A0"/>
      <name val="Arial"/>
      <charset val="1"/>
    </font>
    <font>
      <sz val="10"/>
      <name val="Arial"/>
      <charset val="1"/>
    </font>
    <font>
      <b/>
      <sz val="10"/>
      <color rgb="FFFFFFFF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7030A0"/>
        <bgColor rgb="FF993366"/>
      </patternFill>
    </fill>
    <fill>
      <patternFill patternType="solid">
        <fgColor rgb="FFF2F2F2"/>
        <bgColor rgb="FFFFFFFF"/>
      </patternFill>
    </fill>
    <fill>
      <patternFill patternType="solid">
        <fgColor rgb="FFEBE0F5"/>
        <bgColor rgb="FFF2F2F2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 applyAlignment="1">
      <alignment vertical="top" wrapText="1"/>
    </xf>
    <xf numFmtId="0" fontId="1" fillId="0" borderId="0" xfId="0" applyFont="1"/>
    <xf numFmtId="0" fontId="3" fillId="0" borderId="0" xfId="0" applyFont="1" applyAlignment="1">
      <alignment vertical="top" wrapText="1"/>
    </xf>
    <xf numFmtId="0" fontId="4" fillId="2" borderId="1" xfId="0" applyFont="1" applyFill="1" applyBorder="1"/>
    <xf numFmtId="0" fontId="5" fillId="0" borderId="0" xfId="0" applyFont="1"/>
    <xf numFmtId="0" fontId="3" fillId="0" borderId="0" xfId="0" applyFont="1"/>
    <xf numFmtId="0" fontId="6" fillId="0" borderId="0" xfId="0" applyFont="1" applyAlignment="1">
      <alignment vertical="top" wrapText="1"/>
    </xf>
    <xf numFmtId="0" fontId="7" fillId="3" borderId="1" xfId="0" applyFont="1" applyFill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vertical="top" wrapText="1"/>
    </xf>
    <xf numFmtId="0" fontId="4" fillId="2" borderId="1" xfId="0" applyFont="1" applyFill="1" applyBorder="1" applyAlignment="1">
      <alignment horizontal="center" vertical="top" wrapText="1"/>
    </xf>
    <xf numFmtId="0" fontId="4" fillId="4" borderId="1" xfId="0" applyFont="1" applyFill="1" applyBorder="1" applyAlignment="1">
      <alignment horizontal="center" vertical="top" wrapText="1"/>
    </xf>
    <xf numFmtId="0" fontId="4" fillId="4" borderId="1" xfId="0" applyFont="1" applyFill="1" applyBorder="1" applyAlignment="1">
      <alignment vertical="top" wrapText="1"/>
    </xf>
    <xf numFmtId="0" fontId="4" fillId="2" borderId="1" xfId="0" applyFont="1" applyFill="1" applyBorder="1" applyAlignment="1">
      <alignment vertical="top" wrapText="1"/>
    </xf>
    <xf numFmtId="0" fontId="6" fillId="0" borderId="1" xfId="0" applyFont="1" applyBorder="1"/>
    <xf numFmtId="164" fontId="6" fillId="0" borderId="1" xfId="0" applyNumberFormat="1" applyFont="1" applyBorder="1" applyAlignment="1">
      <alignment horizontal="center" vertical="top" wrapText="1"/>
    </xf>
    <xf numFmtId="0" fontId="3" fillId="5" borderId="1" xfId="0" applyFont="1" applyFill="1" applyBorder="1"/>
    <xf numFmtId="0" fontId="3" fillId="5" borderId="1" xfId="0" applyFont="1" applyFill="1" applyBorder="1" applyAlignment="1">
      <alignment horizontal="center" vertical="top" wrapText="1"/>
    </xf>
    <xf numFmtId="164" fontId="3" fillId="5" borderId="1" xfId="0" applyNumberFormat="1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7030A0"/>
      <rgbColor rgb="FFF2F2F2"/>
      <rgbColor rgb="FFCCFFFF"/>
      <rgbColor rgb="FF660066"/>
      <rgbColor rgb="FFFF8080"/>
      <rgbColor rgb="FF0066CC"/>
      <rgbColor rgb="FFEBE0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25"/>
  <sheetViews>
    <sheetView showGridLines="0" topLeftCell="A10" zoomScaleNormal="100" workbookViewId="0"/>
  </sheetViews>
  <sheetFormatPr defaultColWidth="8.6328125" defaultRowHeight="14.5" x14ac:dyDescent="0.35"/>
  <cols>
    <col min="1" max="1" width="3" customWidth="1"/>
    <col min="2" max="2" width="26" customWidth="1"/>
    <col min="3" max="3" width="70" customWidth="1"/>
  </cols>
  <sheetData>
    <row r="2" spans="2:3" ht="18" x14ac:dyDescent="0.4">
      <c r="B2" s="2" t="s">
        <v>0</v>
      </c>
    </row>
    <row r="3" spans="2:3" ht="27.75" customHeight="1" x14ac:dyDescent="0.35">
      <c r="B3" s="1" t="s">
        <v>1</v>
      </c>
      <c r="C3" s="1"/>
    </row>
    <row r="5" spans="2:3" x14ac:dyDescent="0.35">
      <c r="B5" s="3" t="s">
        <v>2</v>
      </c>
      <c r="C5" s="4"/>
    </row>
    <row r="6" spans="2:3" x14ac:dyDescent="0.35">
      <c r="B6" s="3" t="s">
        <v>3</v>
      </c>
      <c r="C6" s="4"/>
    </row>
    <row r="7" spans="2:3" ht="26" x14ac:dyDescent="0.35">
      <c r="B7" s="3" t="s">
        <v>4</v>
      </c>
      <c r="C7" s="4"/>
    </row>
    <row r="8" spans="2:3" ht="26" x14ac:dyDescent="0.35">
      <c r="B8" s="3" t="s">
        <v>5</v>
      </c>
      <c r="C8" s="4"/>
    </row>
    <row r="9" spans="2:3" x14ac:dyDescent="0.35">
      <c r="B9" s="3" t="s">
        <v>6</v>
      </c>
      <c r="C9" s="4"/>
    </row>
    <row r="10" spans="2:3" x14ac:dyDescent="0.35">
      <c r="B10" s="3" t="s">
        <v>7</v>
      </c>
      <c r="C10" s="4"/>
    </row>
    <row r="11" spans="2:3" ht="26" x14ac:dyDescent="0.35">
      <c r="B11" s="3" t="s">
        <v>8</v>
      </c>
      <c r="C11" s="4"/>
    </row>
    <row r="12" spans="2:3" x14ac:dyDescent="0.35">
      <c r="B12" s="3" t="s">
        <v>9</v>
      </c>
      <c r="C12" s="4"/>
    </row>
    <row r="14" spans="2:3" x14ac:dyDescent="0.35">
      <c r="B14" s="5" t="s">
        <v>10</v>
      </c>
    </row>
    <row r="15" spans="2:3" ht="30" customHeight="1" x14ac:dyDescent="0.35">
      <c r="B15" s="6" t="s">
        <v>11</v>
      </c>
      <c r="C15" s="7" t="s">
        <v>12</v>
      </c>
    </row>
    <row r="16" spans="2:3" ht="30" customHeight="1" x14ac:dyDescent="0.35">
      <c r="B16" s="6" t="s">
        <v>13</v>
      </c>
      <c r="C16" s="7" t="s">
        <v>14</v>
      </c>
    </row>
    <row r="17" spans="2:3" ht="30" customHeight="1" x14ac:dyDescent="0.35">
      <c r="B17" s="6" t="s">
        <v>15</v>
      </c>
      <c r="C17" s="7" t="s">
        <v>16</v>
      </c>
    </row>
    <row r="19" spans="2:3" x14ac:dyDescent="0.35">
      <c r="B19" s="5" t="s">
        <v>17</v>
      </c>
    </row>
    <row r="20" spans="2:3" ht="25.5" customHeight="1" x14ac:dyDescent="0.35">
      <c r="B20" s="6" t="s">
        <v>18</v>
      </c>
      <c r="C20" s="7" t="s">
        <v>19</v>
      </c>
    </row>
    <row r="21" spans="2:3" ht="25.5" customHeight="1" x14ac:dyDescent="0.35">
      <c r="B21" s="6" t="s">
        <v>20</v>
      </c>
      <c r="C21" s="7" t="s">
        <v>21</v>
      </c>
    </row>
    <row r="22" spans="2:3" ht="25.5" customHeight="1" x14ac:dyDescent="0.35">
      <c r="B22" s="6" t="s">
        <v>22</v>
      </c>
      <c r="C22" s="7" t="s">
        <v>23</v>
      </c>
    </row>
    <row r="23" spans="2:3" ht="25.5" customHeight="1" x14ac:dyDescent="0.35">
      <c r="B23" s="6" t="s">
        <v>24</v>
      </c>
      <c r="C23" s="7" t="s">
        <v>25</v>
      </c>
    </row>
    <row r="25" spans="2:3" ht="51.75" customHeight="1" x14ac:dyDescent="0.35">
      <c r="B25" s="1" t="s">
        <v>26</v>
      </c>
      <c r="C25" s="1"/>
    </row>
  </sheetData>
  <mergeCells count="2">
    <mergeCell ref="B3:C3"/>
    <mergeCell ref="B25:C25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61"/>
  <sheetViews>
    <sheetView showGridLines="0" tabSelected="1" zoomScaleNormal="100" workbookViewId="0">
      <pane ySplit="3" topLeftCell="A256" activePane="bottomLeft" state="frozen"/>
      <selection pane="bottomLeft"/>
    </sheetView>
  </sheetViews>
  <sheetFormatPr defaultColWidth="8.6328125" defaultRowHeight="14.5" x14ac:dyDescent="0.35"/>
  <cols>
    <col min="1" max="1" width="10" customWidth="1"/>
    <col min="2" max="2" width="50.26953125" customWidth="1"/>
    <col min="3" max="3" width="53.90625" customWidth="1"/>
    <col min="4" max="4" width="66" customWidth="1"/>
    <col min="5" max="7" width="12" customWidth="1"/>
    <col min="8" max="8" width="42" customWidth="1"/>
    <col min="9" max="9" width="28" customWidth="1"/>
  </cols>
  <sheetData>
    <row r="1" spans="1:9" ht="18" x14ac:dyDescent="0.4">
      <c r="A1" s="2" t="s">
        <v>27</v>
      </c>
    </row>
    <row r="3" spans="1:9" ht="26" x14ac:dyDescent="0.35">
      <c r="A3" s="8" t="s">
        <v>28</v>
      </c>
      <c r="B3" s="8" t="s">
        <v>29</v>
      </c>
      <c r="C3" s="8" t="s">
        <v>30</v>
      </c>
      <c r="D3" s="8" t="s">
        <v>31</v>
      </c>
      <c r="E3" s="8" t="s">
        <v>32</v>
      </c>
      <c r="F3" s="8" t="s">
        <v>33</v>
      </c>
      <c r="G3" s="8" t="s">
        <v>34</v>
      </c>
      <c r="H3" s="8" t="s">
        <v>35</v>
      </c>
      <c r="I3" s="8" t="s">
        <v>36</v>
      </c>
    </row>
    <row r="4" spans="1:9" ht="25.5" customHeight="1" x14ac:dyDescent="0.35">
      <c r="A4" s="9" t="s">
        <v>37</v>
      </c>
      <c r="B4" s="10" t="s">
        <v>38</v>
      </c>
      <c r="C4" s="10" t="s">
        <v>39</v>
      </c>
      <c r="D4" s="10" t="s">
        <v>40</v>
      </c>
      <c r="E4" s="11" t="s">
        <v>13</v>
      </c>
      <c r="F4" s="12" t="s">
        <v>18</v>
      </c>
      <c r="G4" s="12" t="s">
        <v>41</v>
      </c>
      <c r="H4" s="13" t="s">
        <v>42</v>
      </c>
      <c r="I4" s="13" t="s">
        <v>43</v>
      </c>
    </row>
    <row r="5" spans="1:9" ht="25.5" customHeight="1" x14ac:dyDescent="0.35">
      <c r="A5" s="9" t="s">
        <v>44</v>
      </c>
      <c r="B5" s="10" t="s">
        <v>38</v>
      </c>
      <c r="C5" s="10" t="s">
        <v>39</v>
      </c>
      <c r="D5" s="10" t="s">
        <v>45</v>
      </c>
      <c r="E5" s="11" t="s">
        <v>13</v>
      </c>
      <c r="F5" s="11"/>
      <c r="G5" s="11"/>
      <c r="H5" s="14"/>
      <c r="I5" s="14"/>
    </row>
    <row r="6" spans="1:9" ht="25.5" customHeight="1" x14ac:dyDescent="0.35">
      <c r="A6" s="9" t="s">
        <v>46</v>
      </c>
      <c r="B6" s="10" t="s">
        <v>38</v>
      </c>
      <c r="C6" s="10" t="s">
        <v>39</v>
      </c>
      <c r="D6" s="10" t="s">
        <v>47</v>
      </c>
      <c r="E6" s="11" t="s">
        <v>13</v>
      </c>
      <c r="F6" s="11"/>
      <c r="G6" s="11"/>
      <c r="H6" s="14"/>
      <c r="I6" s="14"/>
    </row>
    <row r="7" spans="1:9" ht="25.5" customHeight="1" x14ac:dyDescent="0.35">
      <c r="A7" s="9" t="s">
        <v>48</v>
      </c>
      <c r="B7" s="10" t="s">
        <v>38</v>
      </c>
      <c r="C7" s="10" t="s">
        <v>39</v>
      </c>
      <c r="D7" s="10" t="s">
        <v>49</v>
      </c>
      <c r="E7" s="11" t="s">
        <v>15</v>
      </c>
      <c r="F7" s="11"/>
      <c r="G7" s="11"/>
      <c r="H7" s="14"/>
      <c r="I7" s="14"/>
    </row>
    <row r="8" spans="1:9" ht="25.5" customHeight="1" x14ac:dyDescent="0.35">
      <c r="A8" s="9" t="s">
        <v>50</v>
      </c>
      <c r="B8" s="10" t="s">
        <v>38</v>
      </c>
      <c r="C8" s="10" t="s">
        <v>39</v>
      </c>
      <c r="D8" s="10" t="s">
        <v>51</v>
      </c>
      <c r="E8" s="11" t="s">
        <v>13</v>
      </c>
      <c r="F8" s="11"/>
      <c r="G8" s="11"/>
      <c r="H8" s="14"/>
      <c r="I8" s="14"/>
    </row>
    <row r="9" spans="1:9" ht="25.5" customHeight="1" x14ac:dyDescent="0.35">
      <c r="A9" s="9" t="s">
        <v>52</v>
      </c>
      <c r="B9" s="10" t="s">
        <v>38</v>
      </c>
      <c r="C9" s="10" t="s">
        <v>39</v>
      </c>
      <c r="D9" s="10" t="s">
        <v>53</v>
      </c>
      <c r="E9" s="11" t="s">
        <v>13</v>
      </c>
      <c r="F9" s="11"/>
      <c r="G9" s="11"/>
      <c r="H9" s="14"/>
      <c r="I9" s="14"/>
    </row>
    <row r="10" spans="1:9" ht="25.5" customHeight="1" x14ac:dyDescent="0.35">
      <c r="A10" s="9" t="s">
        <v>54</v>
      </c>
      <c r="B10" s="10" t="s">
        <v>38</v>
      </c>
      <c r="C10" s="10" t="s">
        <v>39</v>
      </c>
      <c r="D10" s="10" t="s">
        <v>55</v>
      </c>
      <c r="E10" s="11" t="s">
        <v>13</v>
      </c>
      <c r="F10" s="11"/>
      <c r="G10" s="11"/>
      <c r="H10" s="14"/>
      <c r="I10" s="14"/>
    </row>
    <row r="11" spans="1:9" ht="25.5" customHeight="1" x14ac:dyDescent="0.35">
      <c r="A11" s="9" t="s">
        <v>56</v>
      </c>
      <c r="B11" s="10" t="s">
        <v>38</v>
      </c>
      <c r="C11" s="10" t="s">
        <v>39</v>
      </c>
      <c r="D11" s="10" t="s">
        <v>57</v>
      </c>
      <c r="E11" s="11" t="s">
        <v>13</v>
      </c>
      <c r="F11" s="11"/>
      <c r="G11" s="11"/>
      <c r="H11" s="14"/>
      <c r="I11" s="14"/>
    </row>
    <row r="12" spans="1:9" ht="25.5" customHeight="1" x14ac:dyDescent="0.35">
      <c r="A12" s="9" t="s">
        <v>58</v>
      </c>
      <c r="B12" s="10" t="s">
        <v>38</v>
      </c>
      <c r="C12" s="10" t="s">
        <v>39</v>
      </c>
      <c r="D12" s="10" t="s">
        <v>59</v>
      </c>
      <c r="E12" s="11" t="s">
        <v>13</v>
      </c>
      <c r="F12" s="11"/>
      <c r="G12" s="11"/>
      <c r="H12" s="14"/>
      <c r="I12" s="14"/>
    </row>
    <row r="13" spans="1:9" ht="25.5" customHeight="1" x14ac:dyDescent="0.35">
      <c r="A13" s="9" t="s">
        <v>60</v>
      </c>
      <c r="B13" s="10" t="s">
        <v>38</v>
      </c>
      <c r="C13" s="10" t="s">
        <v>39</v>
      </c>
      <c r="D13" s="10" t="s">
        <v>61</v>
      </c>
      <c r="E13" s="11" t="s">
        <v>13</v>
      </c>
      <c r="F13" s="11"/>
      <c r="G13" s="11"/>
      <c r="H13" s="14"/>
      <c r="I13" s="14"/>
    </row>
    <row r="14" spans="1:9" ht="25.5" customHeight="1" x14ac:dyDescent="0.35">
      <c r="A14" s="9" t="s">
        <v>62</v>
      </c>
      <c r="B14" s="10" t="s">
        <v>38</v>
      </c>
      <c r="C14" s="10" t="s">
        <v>39</v>
      </c>
      <c r="D14" s="10" t="s">
        <v>63</v>
      </c>
      <c r="E14" s="11" t="s">
        <v>13</v>
      </c>
      <c r="F14" s="11"/>
      <c r="G14" s="11"/>
      <c r="H14" s="14"/>
      <c r="I14" s="14"/>
    </row>
    <row r="15" spans="1:9" ht="25.5" customHeight="1" x14ac:dyDescent="0.35">
      <c r="A15" s="9" t="s">
        <v>64</v>
      </c>
      <c r="B15" s="10" t="s">
        <v>38</v>
      </c>
      <c r="C15" s="10" t="s">
        <v>39</v>
      </c>
      <c r="D15" s="10" t="s">
        <v>65</v>
      </c>
      <c r="E15" s="11" t="s">
        <v>13</v>
      </c>
      <c r="F15" s="11"/>
      <c r="G15" s="11"/>
      <c r="H15" s="14"/>
      <c r="I15" s="14"/>
    </row>
    <row r="16" spans="1:9" ht="25.5" customHeight="1" x14ac:dyDescent="0.35">
      <c r="A16" s="9" t="s">
        <v>66</v>
      </c>
      <c r="B16" s="10" t="s">
        <v>38</v>
      </c>
      <c r="C16" s="10" t="s">
        <v>67</v>
      </c>
      <c r="D16" s="10" t="s">
        <v>68</v>
      </c>
      <c r="E16" s="11" t="s">
        <v>15</v>
      </c>
      <c r="F16" s="11"/>
      <c r="G16" s="11"/>
      <c r="H16" s="14"/>
      <c r="I16" s="14"/>
    </row>
    <row r="17" spans="1:9" ht="25.5" customHeight="1" x14ac:dyDescent="0.35">
      <c r="A17" s="9" t="s">
        <v>69</v>
      </c>
      <c r="B17" s="10" t="s">
        <v>38</v>
      </c>
      <c r="C17" s="10" t="s">
        <v>67</v>
      </c>
      <c r="D17" s="10" t="s">
        <v>70</v>
      </c>
      <c r="E17" s="11" t="s">
        <v>15</v>
      </c>
      <c r="F17" s="11"/>
      <c r="G17" s="11"/>
      <c r="H17" s="14"/>
      <c r="I17" s="14"/>
    </row>
    <row r="18" spans="1:9" ht="25.5" customHeight="1" x14ac:dyDescent="0.35">
      <c r="A18" s="9" t="s">
        <v>71</v>
      </c>
      <c r="B18" s="10" t="s">
        <v>38</v>
      </c>
      <c r="C18" s="10" t="s">
        <v>67</v>
      </c>
      <c r="D18" s="10" t="s">
        <v>72</v>
      </c>
      <c r="E18" s="11" t="s">
        <v>15</v>
      </c>
      <c r="F18" s="11"/>
      <c r="G18" s="11"/>
      <c r="H18" s="14"/>
      <c r="I18" s="14"/>
    </row>
    <row r="19" spans="1:9" ht="25.5" customHeight="1" x14ac:dyDescent="0.35">
      <c r="A19" s="9" t="s">
        <v>73</v>
      </c>
      <c r="B19" s="10" t="s">
        <v>38</v>
      </c>
      <c r="C19" s="10" t="s">
        <v>67</v>
      </c>
      <c r="D19" s="10" t="s">
        <v>74</v>
      </c>
      <c r="E19" s="11" t="s">
        <v>15</v>
      </c>
      <c r="F19" s="11"/>
      <c r="G19" s="11"/>
      <c r="H19" s="14"/>
      <c r="I19" s="14"/>
    </row>
    <row r="20" spans="1:9" ht="25.5" customHeight="1" x14ac:dyDescent="0.35">
      <c r="A20" s="9" t="s">
        <v>75</v>
      </c>
      <c r="B20" s="10" t="s">
        <v>38</v>
      </c>
      <c r="C20" s="10" t="s">
        <v>67</v>
      </c>
      <c r="D20" s="10" t="s">
        <v>76</v>
      </c>
      <c r="E20" s="11" t="s">
        <v>15</v>
      </c>
      <c r="F20" s="11"/>
      <c r="G20" s="11"/>
      <c r="H20" s="14"/>
      <c r="I20" s="14"/>
    </row>
    <row r="21" spans="1:9" ht="25.5" customHeight="1" x14ac:dyDescent="0.35">
      <c r="A21" s="9" t="s">
        <v>77</v>
      </c>
      <c r="B21" s="10" t="s">
        <v>38</v>
      </c>
      <c r="C21" s="10" t="s">
        <v>67</v>
      </c>
      <c r="D21" s="10" t="s">
        <v>78</v>
      </c>
      <c r="E21" s="11" t="s">
        <v>15</v>
      </c>
      <c r="F21" s="11"/>
      <c r="G21" s="11"/>
      <c r="H21" s="14"/>
      <c r="I21" s="14"/>
    </row>
    <row r="22" spans="1:9" ht="25.5" customHeight="1" x14ac:dyDescent="0.35">
      <c r="A22" s="9" t="s">
        <v>79</v>
      </c>
      <c r="B22" s="10" t="s">
        <v>38</v>
      </c>
      <c r="C22" s="10" t="s">
        <v>67</v>
      </c>
      <c r="D22" s="10" t="s">
        <v>80</v>
      </c>
      <c r="E22" s="11" t="s">
        <v>15</v>
      </c>
      <c r="F22" s="11"/>
      <c r="G22" s="11"/>
      <c r="H22" s="14"/>
      <c r="I22" s="14"/>
    </row>
    <row r="23" spans="1:9" ht="25.5" customHeight="1" x14ac:dyDescent="0.35">
      <c r="A23" s="9" t="s">
        <v>81</v>
      </c>
      <c r="B23" s="10" t="s">
        <v>38</v>
      </c>
      <c r="C23" s="10" t="s">
        <v>67</v>
      </c>
      <c r="D23" s="10" t="s">
        <v>82</v>
      </c>
      <c r="E23" s="11" t="s">
        <v>15</v>
      </c>
      <c r="F23" s="11"/>
      <c r="G23" s="11"/>
      <c r="H23" s="14"/>
      <c r="I23" s="14"/>
    </row>
    <row r="24" spans="1:9" ht="25.5" customHeight="1" x14ac:dyDescent="0.35">
      <c r="A24" s="9" t="s">
        <v>83</v>
      </c>
      <c r="B24" s="10" t="s">
        <v>38</v>
      </c>
      <c r="C24" s="10" t="s">
        <v>67</v>
      </c>
      <c r="D24" s="10" t="s">
        <v>84</v>
      </c>
      <c r="E24" s="11" t="s">
        <v>15</v>
      </c>
      <c r="F24" s="11"/>
      <c r="G24" s="11"/>
      <c r="H24" s="14"/>
      <c r="I24" s="14"/>
    </row>
    <row r="25" spans="1:9" ht="25.5" customHeight="1" x14ac:dyDescent="0.35">
      <c r="A25" s="9" t="s">
        <v>85</v>
      </c>
      <c r="B25" s="10" t="s">
        <v>38</v>
      </c>
      <c r="C25" s="10" t="s">
        <v>67</v>
      </c>
      <c r="D25" s="10" t="s">
        <v>86</v>
      </c>
      <c r="E25" s="11" t="s">
        <v>15</v>
      </c>
      <c r="F25" s="11"/>
      <c r="G25" s="11"/>
      <c r="H25" s="14"/>
      <c r="I25" s="14"/>
    </row>
    <row r="26" spans="1:9" ht="25.5" customHeight="1" x14ac:dyDescent="0.35">
      <c r="A26" s="9" t="s">
        <v>87</v>
      </c>
      <c r="B26" s="10" t="s">
        <v>38</v>
      </c>
      <c r="C26" s="10" t="s">
        <v>88</v>
      </c>
      <c r="D26" s="10" t="s">
        <v>89</v>
      </c>
      <c r="E26" s="11" t="s">
        <v>13</v>
      </c>
      <c r="F26" s="11"/>
      <c r="G26" s="11"/>
      <c r="H26" s="14"/>
      <c r="I26" s="14"/>
    </row>
    <row r="27" spans="1:9" ht="25.5" customHeight="1" x14ac:dyDescent="0.35">
      <c r="A27" s="9" t="s">
        <v>90</v>
      </c>
      <c r="B27" s="10" t="s">
        <v>38</v>
      </c>
      <c r="C27" s="10" t="s">
        <v>88</v>
      </c>
      <c r="D27" s="10" t="s">
        <v>91</v>
      </c>
      <c r="E27" s="11" t="s">
        <v>13</v>
      </c>
      <c r="F27" s="11"/>
      <c r="G27" s="11"/>
      <c r="H27" s="14"/>
      <c r="I27" s="14"/>
    </row>
    <row r="28" spans="1:9" ht="25.5" customHeight="1" x14ac:dyDescent="0.35">
      <c r="A28" s="9" t="s">
        <v>92</v>
      </c>
      <c r="B28" s="10" t="s">
        <v>38</v>
      </c>
      <c r="C28" s="10" t="s">
        <v>88</v>
      </c>
      <c r="D28" s="10" t="s">
        <v>93</v>
      </c>
      <c r="E28" s="11" t="s">
        <v>13</v>
      </c>
      <c r="F28" s="11"/>
      <c r="G28" s="11"/>
      <c r="H28" s="14"/>
      <c r="I28" s="14"/>
    </row>
    <row r="29" spans="1:9" ht="25.5" customHeight="1" x14ac:dyDescent="0.35">
      <c r="A29" s="9" t="s">
        <v>94</v>
      </c>
      <c r="B29" s="10" t="s">
        <v>38</v>
      </c>
      <c r="C29" s="10" t="s">
        <v>88</v>
      </c>
      <c r="D29" s="10" t="s">
        <v>95</v>
      </c>
      <c r="E29" s="11" t="s">
        <v>13</v>
      </c>
      <c r="F29" s="11"/>
      <c r="G29" s="11"/>
      <c r="H29" s="14"/>
      <c r="I29" s="14"/>
    </row>
    <row r="30" spans="1:9" ht="25.5" customHeight="1" x14ac:dyDescent="0.35">
      <c r="A30" s="9" t="s">
        <v>96</v>
      </c>
      <c r="B30" s="10" t="s">
        <v>38</v>
      </c>
      <c r="C30" s="10" t="s">
        <v>88</v>
      </c>
      <c r="D30" s="10" t="s">
        <v>97</v>
      </c>
      <c r="E30" s="11" t="s">
        <v>13</v>
      </c>
      <c r="F30" s="11"/>
      <c r="G30" s="11"/>
      <c r="H30" s="14"/>
      <c r="I30" s="14"/>
    </row>
    <row r="31" spans="1:9" ht="25.5" customHeight="1" x14ac:dyDescent="0.35">
      <c r="A31" s="9" t="s">
        <v>98</v>
      </c>
      <c r="B31" s="10" t="s">
        <v>38</v>
      </c>
      <c r="C31" s="10" t="s">
        <v>88</v>
      </c>
      <c r="D31" s="10" t="s">
        <v>99</v>
      </c>
      <c r="E31" s="11" t="s">
        <v>13</v>
      </c>
      <c r="F31" s="11"/>
      <c r="G31" s="11"/>
      <c r="H31" s="14"/>
      <c r="I31" s="14"/>
    </row>
    <row r="32" spans="1:9" ht="25.5" customHeight="1" x14ac:dyDescent="0.35">
      <c r="A32" s="9" t="s">
        <v>100</v>
      </c>
      <c r="B32" s="10" t="s">
        <v>38</v>
      </c>
      <c r="C32" s="10" t="s">
        <v>88</v>
      </c>
      <c r="D32" s="10" t="s">
        <v>101</v>
      </c>
      <c r="E32" s="11" t="s">
        <v>13</v>
      </c>
      <c r="F32" s="11"/>
      <c r="G32" s="11"/>
      <c r="H32" s="14"/>
      <c r="I32" s="14"/>
    </row>
    <row r="33" spans="1:9" ht="25.5" customHeight="1" x14ac:dyDescent="0.35">
      <c r="A33" s="9" t="s">
        <v>102</v>
      </c>
      <c r="B33" s="10" t="s">
        <v>38</v>
      </c>
      <c r="C33" s="10" t="s">
        <v>88</v>
      </c>
      <c r="D33" s="10" t="s">
        <v>103</v>
      </c>
      <c r="E33" s="11" t="s">
        <v>13</v>
      </c>
      <c r="F33" s="11"/>
      <c r="G33" s="11"/>
      <c r="H33" s="14"/>
      <c r="I33" s="14"/>
    </row>
    <row r="34" spans="1:9" ht="25.5" customHeight="1" x14ac:dyDescent="0.35">
      <c r="A34" s="9" t="s">
        <v>104</v>
      </c>
      <c r="B34" s="10" t="s">
        <v>38</v>
      </c>
      <c r="C34" s="10" t="s">
        <v>88</v>
      </c>
      <c r="D34" s="10" t="s">
        <v>105</v>
      </c>
      <c r="E34" s="11" t="s">
        <v>13</v>
      </c>
      <c r="F34" s="11"/>
      <c r="G34" s="11"/>
      <c r="H34" s="14"/>
      <c r="I34" s="14"/>
    </row>
    <row r="35" spans="1:9" ht="25.5" customHeight="1" x14ac:dyDescent="0.35">
      <c r="A35" s="9" t="s">
        <v>106</v>
      </c>
      <c r="B35" s="10" t="s">
        <v>38</v>
      </c>
      <c r="C35" s="10" t="s">
        <v>88</v>
      </c>
      <c r="D35" s="10" t="s">
        <v>107</v>
      </c>
      <c r="E35" s="11" t="s">
        <v>13</v>
      </c>
      <c r="F35" s="11"/>
      <c r="G35" s="11"/>
      <c r="H35" s="14"/>
      <c r="I35" s="14"/>
    </row>
    <row r="36" spans="1:9" ht="25.5" customHeight="1" x14ac:dyDescent="0.35">
      <c r="A36" s="9" t="s">
        <v>108</v>
      </c>
      <c r="B36" s="10" t="s">
        <v>38</v>
      </c>
      <c r="C36" s="10" t="s">
        <v>88</v>
      </c>
      <c r="D36" s="10" t="s">
        <v>109</v>
      </c>
      <c r="E36" s="11" t="s">
        <v>13</v>
      </c>
      <c r="F36" s="11"/>
      <c r="G36" s="11"/>
      <c r="H36" s="14"/>
      <c r="I36" s="14"/>
    </row>
    <row r="37" spans="1:9" ht="25.5" customHeight="1" x14ac:dyDescent="0.35">
      <c r="A37" s="9" t="s">
        <v>110</v>
      </c>
      <c r="B37" s="10" t="s">
        <v>38</v>
      </c>
      <c r="C37" s="10" t="s">
        <v>88</v>
      </c>
      <c r="D37" s="10" t="s">
        <v>111</v>
      </c>
      <c r="E37" s="11" t="s">
        <v>13</v>
      </c>
      <c r="F37" s="11"/>
      <c r="G37" s="11"/>
      <c r="H37" s="14"/>
      <c r="I37" s="14"/>
    </row>
    <row r="38" spans="1:9" ht="25.5" customHeight="1" x14ac:dyDescent="0.35">
      <c r="A38" s="9" t="s">
        <v>112</v>
      </c>
      <c r="B38" s="10" t="s">
        <v>38</v>
      </c>
      <c r="C38" s="10" t="s">
        <v>88</v>
      </c>
      <c r="D38" s="10" t="s">
        <v>113</v>
      </c>
      <c r="E38" s="11" t="s">
        <v>13</v>
      </c>
      <c r="F38" s="11"/>
      <c r="G38" s="11"/>
      <c r="H38" s="14"/>
      <c r="I38" s="14"/>
    </row>
    <row r="39" spans="1:9" ht="25.5" customHeight="1" x14ac:dyDescent="0.35">
      <c r="A39" s="9" t="s">
        <v>114</v>
      </c>
      <c r="B39" s="10" t="s">
        <v>38</v>
      </c>
      <c r="C39" s="10" t="s">
        <v>115</v>
      </c>
      <c r="D39" s="10" t="s">
        <v>116</v>
      </c>
      <c r="E39" s="11" t="s">
        <v>13</v>
      </c>
      <c r="F39" s="11"/>
      <c r="G39" s="11"/>
      <c r="H39" s="14"/>
      <c r="I39" s="14"/>
    </row>
    <row r="40" spans="1:9" ht="25.5" customHeight="1" x14ac:dyDescent="0.35">
      <c r="A40" s="9" t="s">
        <v>117</v>
      </c>
      <c r="B40" s="10" t="s">
        <v>38</v>
      </c>
      <c r="C40" s="10" t="s">
        <v>115</v>
      </c>
      <c r="D40" s="10" t="s">
        <v>118</v>
      </c>
      <c r="E40" s="11" t="s">
        <v>13</v>
      </c>
      <c r="F40" s="11"/>
      <c r="G40" s="11"/>
      <c r="H40" s="14"/>
      <c r="I40" s="14"/>
    </row>
    <row r="41" spans="1:9" ht="25.5" customHeight="1" x14ac:dyDescent="0.35">
      <c r="A41" s="9" t="s">
        <v>119</v>
      </c>
      <c r="B41" s="10" t="s">
        <v>38</v>
      </c>
      <c r="C41" s="10" t="s">
        <v>115</v>
      </c>
      <c r="D41" s="10" t="s">
        <v>120</v>
      </c>
      <c r="E41" s="11" t="s">
        <v>15</v>
      </c>
      <c r="F41" s="11"/>
      <c r="G41" s="11"/>
      <c r="H41" s="14"/>
      <c r="I41" s="14"/>
    </row>
    <row r="42" spans="1:9" ht="25.5" customHeight="1" x14ac:dyDescent="0.35">
      <c r="A42" s="9" t="s">
        <v>121</v>
      </c>
      <c r="B42" s="10" t="s">
        <v>38</v>
      </c>
      <c r="C42" s="10" t="s">
        <v>115</v>
      </c>
      <c r="D42" s="10" t="s">
        <v>122</v>
      </c>
      <c r="E42" s="11" t="s">
        <v>13</v>
      </c>
      <c r="F42" s="11"/>
      <c r="G42" s="11"/>
      <c r="H42" s="14"/>
      <c r="I42" s="14"/>
    </row>
    <row r="43" spans="1:9" ht="25.5" customHeight="1" x14ac:dyDescent="0.35">
      <c r="A43" s="9" t="s">
        <v>123</v>
      </c>
      <c r="B43" s="10" t="s">
        <v>38</v>
      </c>
      <c r="C43" s="10" t="s">
        <v>115</v>
      </c>
      <c r="D43" s="10" t="s">
        <v>124</v>
      </c>
      <c r="E43" s="11" t="s">
        <v>13</v>
      </c>
      <c r="F43" s="11"/>
      <c r="G43" s="11"/>
      <c r="H43" s="14"/>
      <c r="I43" s="14"/>
    </row>
    <row r="44" spans="1:9" ht="25.5" customHeight="1" x14ac:dyDescent="0.35">
      <c r="A44" s="9" t="s">
        <v>125</v>
      </c>
      <c r="B44" s="10" t="s">
        <v>38</v>
      </c>
      <c r="C44" s="10" t="s">
        <v>115</v>
      </c>
      <c r="D44" s="10" t="s">
        <v>126</v>
      </c>
      <c r="E44" s="11" t="s">
        <v>13</v>
      </c>
      <c r="F44" s="11"/>
      <c r="G44" s="11"/>
      <c r="H44" s="14"/>
      <c r="I44" s="14"/>
    </row>
    <row r="45" spans="1:9" ht="25.5" customHeight="1" x14ac:dyDescent="0.35">
      <c r="A45" s="9" t="s">
        <v>127</v>
      </c>
      <c r="B45" s="10" t="s">
        <v>38</v>
      </c>
      <c r="C45" s="10" t="s">
        <v>115</v>
      </c>
      <c r="D45" s="10" t="s">
        <v>128</v>
      </c>
      <c r="E45" s="11" t="s">
        <v>13</v>
      </c>
      <c r="F45" s="11"/>
      <c r="G45" s="11"/>
      <c r="H45" s="14"/>
      <c r="I45" s="14"/>
    </row>
    <row r="46" spans="1:9" ht="25.5" customHeight="1" x14ac:dyDescent="0.35">
      <c r="A46" s="9" t="s">
        <v>129</v>
      </c>
      <c r="B46" s="10" t="s">
        <v>38</v>
      </c>
      <c r="C46" s="10" t="s">
        <v>115</v>
      </c>
      <c r="D46" s="10" t="s">
        <v>130</v>
      </c>
      <c r="E46" s="11" t="s">
        <v>13</v>
      </c>
      <c r="F46" s="11"/>
      <c r="G46" s="11"/>
      <c r="H46" s="14"/>
      <c r="I46" s="14"/>
    </row>
    <row r="47" spans="1:9" ht="25.5" customHeight="1" x14ac:dyDescent="0.35">
      <c r="A47" s="9" t="s">
        <v>131</v>
      </c>
      <c r="B47" s="10" t="s">
        <v>38</v>
      </c>
      <c r="C47" s="10" t="s">
        <v>115</v>
      </c>
      <c r="D47" s="10" t="s">
        <v>132</v>
      </c>
      <c r="E47" s="11" t="s">
        <v>13</v>
      </c>
      <c r="F47" s="11"/>
      <c r="G47" s="11"/>
      <c r="H47" s="14"/>
      <c r="I47" s="14"/>
    </row>
    <row r="48" spans="1:9" ht="25.5" customHeight="1" x14ac:dyDescent="0.35">
      <c r="A48" s="9" t="s">
        <v>133</v>
      </c>
      <c r="B48" s="10" t="s">
        <v>38</v>
      </c>
      <c r="C48" s="10" t="s">
        <v>115</v>
      </c>
      <c r="D48" s="10" t="s">
        <v>134</v>
      </c>
      <c r="E48" s="11" t="s">
        <v>13</v>
      </c>
      <c r="F48" s="11"/>
      <c r="G48" s="11"/>
      <c r="H48" s="14"/>
      <c r="I48" s="14"/>
    </row>
    <row r="49" spans="1:9" ht="25.5" customHeight="1" x14ac:dyDescent="0.35">
      <c r="A49" s="9" t="s">
        <v>135</v>
      </c>
      <c r="B49" s="10" t="s">
        <v>38</v>
      </c>
      <c r="C49" s="10" t="s">
        <v>115</v>
      </c>
      <c r="D49" s="10" t="s">
        <v>136</v>
      </c>
      <c r="E49" s="11" t="s">
        <v>13</v>
      </c>
      <c r="F49" s="11"/>
      <c r="G49" s="11"/>
      <c r="H49" s="14"/>
      <c r="I49" s="14"/>
    </row>
    <row r="50" spans="1:9" ht="25.5" customHeight="1" x14ac:dyDescent="0.35">
      <c r="A50" s="9" t="s">
        <v>137</v>
      </c>
      <c r="B50" s="10" t="s">
        <v>38</v>
      </c>
      <c r="C50" s="10" t="s">
        <v>115</v>
      </c>
      <c r="D50" s="10" t="s">
        <v>138</v>
      </c>
      <c r="E50" s="11" t="s">
        <v>13</v>
      </c>
      <c r="F50" s="11"/>
      <c r="G50" s="11"/>
      <c r="H50" s="14"/>
      <c r="I50" s="14"/>
    </row>
    <row r="51" spans="1:9" ht="25.5" customHeight="1" x14ac:dyDescent="0.35">
      <c r="A51" s="9" t="s">
        <v>139</v>
      </c>
      <c r="B51" s="10" t="s">
        <v>38</v>
      </c>
      <c r="C51" s="10" t="s">
        <v>140</v>
      </c>
      <c r="D51" s="10" t="s">
        <v>141</v>
      </c>
      <c r="E51" s="11" t="s">
        <v>13</v>
      </c>
      <c r="F51" s="11"/>
      <c r="G51" s="11"/>
      <c r="H51" s="14"/>
      <c r="I51" s="14"/>
    </row>
    <row r="52" spans="1:9" ht="25.5" customHeight="1" x14ac:dyDescent="0.35">
      <c r="A52" s="9" t="s">
        <v>142</v>
      </c>
      <c r="B52" s="10" t="s">
        <v>38</v>
      </c>
      <c r="C52" s="10" t="s">
        <v>140</v>
      </c>
      <c r="D52" s="10" t="s">
        <v>143</v>
      </c>
      <c r="E52" s="11" t="s">
        <v>13</v>
      </c>
      <c r="F52" s="11"/>
      <c r="G52" s="11"/>
      <c r="H52" s="14"/>
      <c r="I52" s="14"/>
    </row>
    <row r="53" spans="1:9" ht="25.5" customHeight="1" x14ac:dyDescent="0.35">
      <c r="A53" s="9" t="s">
        <v>144</v>
      </c>
      <c r="B53" s="10" t="s">
        <v>38</v>
      </c>
      <c r="C53" s="10" t="s">
        <v>140</v>
      </c>
      <c r="D53" s="10" t="s">
        <v>145</v>
      </c>
      <c r="E53" s="11" t="s">
        <v>13</v>
      </c>
      <c r="F53" s="11"/>
      <c r="G53" s="11"/>
      <c r="H53" s="14"/>
      <c r="I53" s="14"/>
    </row>
    <row r="54" spans="1:9" ht="25.5" customHeight="1" x14ac:dyDescent="0.35">
      <c r="A54" s="9" t="s">
        <v>146</v>
      </c>
      <c r="B54" s="10" t="s">
        <v>38</v>
      </c>
      <c r="C54" s="10" t="s">
        <v>140</v>
      </c>
      <c r="D54" s="10" t="s">
        <v>147</v>
      </c>
      <c r="E54" s="11" t="s">
        <v>13</v>
      </c>
      <c r="F54" s="11"/>
      <c r="G54" s="11"/>
      <c r="H54" s="14"/>
      <c r="I54" s="14"/>
    </row>
    <row r="55" spans="1:9" ht="25.5" customHeight="1" x14ac:dyDescent="0.35">
      <c r="A55" s="9" t="s">
        <v>148</v>
      </c>
      <c r="B55" s="10" t="s">
        <v>38</v>
      </c>
      <c r="C55" s="10" t="s">
        <v>140</v>
      </c>
      <c r="D55" s="10" t="s">
        <v>149</v>
      </c>
      <c r="E55" s="11" t="s">
        <v>13</v>
      </c>
      <c r="F55" s="11"/>
      <c r="G55" s="11"/>
      <c r="H55" s="14"/>
      <c r="I55" s="14"/>
    </row>
    <row r="56" spans="1:9" ht="25.5" customHeight="1" x14ac:dyDescent="0.35">
      <c r="A56" s="9" t="s">
        <v>150</v>
      </c>
      <c r="B56" s="10" t="s">
        <v>38</v>
      </c>
      <c r="C56" s="10" t="s">
        <v>140</v>
      </c>
      <c r="D56" s="10" t="s">
        <v>151</v>
      </c>
      <c r="E56" s="11" t="s">
        <v>13</v>
      </c>
      <c r="F56" s="11"/>
      <c r="G56" s="11"/>
      <c r="H56" s="14"/>
      <c r="I56" s="14"/>
    </row>
    <row r="57" spans="1:9" ht="25.5" customHeight="1" x14ac:dyDescent="0.35">
      <c r="A57" s="9" t="s">
        <v>152</v>
      </c>
      <c r="B57" s="10" t="s">
        <v>38</v>
      </c>
      <c r="C57" s="10" t="s">
        <v>140</v>
      </c>
      <c r="D57" s="10" t="s">
        <v>153</v>
      </c>
      <c r="E57" s="11" t="s">
        <v>13</v>
      </c>
      <c r="F57" s="11"/>
      <c r="G57" s="11"/>
      <c r="H57" s="14"/>
      <c r="I57" s="14"/>
    </row>
    <row r="58" spans="1:9" ht="25.5" customHeight="1" x14ac:dyDescent="0.35">
      <c r="A58" s="9" t="s">
        <v>154</v>
      </c>
      <c r="B58" s="10" t="s">
        <v>38</v>
      </c>
      <c r="C58" s="10" t="s">
        <v>140</v>
      </c>
      <c r="D58" s="10" t="s">
        <v>155</v>
      </c>
      <c r="E58" s="11" t="s">
        <v>13</v>
      </c>
      <c r="F58" s="11"/>
      <c r="G58" s="11"/>
      <c r="H58" s="14"/>
      <c r="I58" s="14"/>
    </row>
    <row r="59" spans="1:9" ht="25.5" customHeight="1" x14ac:dyDescent="0.35">
      <c r="A59" s="9" t="s">
        <v>156</v>
      </c>
      <c r="B59" s="10" t="s">
        <v>38</v>
      </c>
      <c r="C59" s="10" t="s">
        <v>157</v>
      </c>
      <c r="D59" s="10" t="s">
        <v>158</v>
      </c>
      <c r="E59" s="11" t="s">
        <v>15</v>
      </c>
      <c r="F59" s="11"/>
      <c r="G59" s="11"/>
      <c r="H59" s="14"/>
      <c r="I59" s="14"/>
    </row>
    <row r="60" spans="1:9" ht="25.5" customHeight="1" x14ac:dyDescent="0.35">
      <c r="A60" s="9" t="s">
        <v>159</v>
      </c>
      <c r="B60" s="10" t="s">
        <v>38</v>
      </c>
      <c r="C60" s="10" t="s">
        <v>157</v>
      </c>
      <c r="D60" s="10" t="s">
        <v>160</v>
      </c>
      <c r="E60" s="11" t="s">
        <v>13</v>
      </c>
      <c r="F60" s="11"/>
      <c r="G60" s="11"/>
      <c r="H60" s="14"/>
      <c r="I60" s="14"/>
    </row>
    <row r="61" spans="1:9" ht="25.5" customHeight="1" x14ac:dyDescent="0.35">
      <c r="A61" s="9" t="s">
        <v>161</v>
      </c>
      <c r="B61" s="10" t="s">
        <v>38</v>
      </c>
      <c r="C61" s="10" t="s">
        <v>157</v>
      </c>
      <c r="D61" s="10" t="s">
        <v>162</v>
      </c>
      <c r="E61" s="11" t="s">
        <v>13</v>
      </c>
      <c r="F61" s="11"/>
      <c r="G61" s="11"/>
      <c r="H61" s="14"/>
      <c r="I61" s="14"/>
    </row>
    <row r="62" spans="1:9" ht="25.5" customHeight="1" x14ac:dyDescent="0.35">
      <c r="A62" s="9" t="s">
        <v>163</v>
      </c>
      <c r="B62" s="10" t="s">
        <v>38</v>
      </c>
      <c r="C62" s="10" t="s">
        <v>157</v>
      </c>
      <c r="D62" s="10" t="s">
        <v>164</v>
      </c>
      <c r="E62" s="11" t="s">
        <v>13</v>
      </c>
      <c r="F62" s="11"/>
      <c r="G62" s="11"/>
      <c r="H62" s="14"/>
      <c r="I62" s="14"/>
    </row>
    <row r="63" spans="1:9" ht="25.5" customHeight="1" x14ac:dyDescent="0.35">
      <c r="A63" s="9" t="s">
        <v>165</v>
      </c>
      <c r="B63" s="10" t="s">
        <v>38</v>
      </c>
      <c r="C63" s="10" t="s">
        <v>157</v>
      </c>
      <c r="D63" s="10" t="s">
        <v>166</v>
      </c>
      <c r="E63" s="11" t="s">
        <v>13</v>
      </c>
      <c r="F63" s="11"/>
      <c r="G63" s="11"/>
      <c r="H63" s="14"/>
      <c r="I63" s="14"/>
    </row>
    <row r="64" spans="1:9" ht="25.5" customHeight="1" x14ac:dyDescent="0.35">
      <c r="A64" s="9" t="s">
        <v>167</v>
      </c>
      <c r="B64" s="10" t="s">
        <v>38</v>
      </c>
      <c r="C64" s="10" t="s">
        <v>157</v>
      </c>
      <c r="D64" s="10" t="s">
        <v>168</v>
      </c>
      <c r="E64" s="11" t="s">
        <v>15</v>
      </c>
      <c r="F64" s="11"/>
      <c r="G64" s="11"/>
      <c r="H64" s="14"/>
      <c r="I64" s="14"/>
    </row>
    <row r="65" spans="1:9" ht="25.5" customHeight="1" x14ac:dyDescent="0.35">
      <c r="A65" s="9" t="s">
        <v>169</v>
      </c>
      <c r="B65" s="10" t="s">
        <v>38</v>
      </c>
      <c r="C65" s="10" t="s">
        <v>157</v>
      </c>
      <c r="D65" s="10" t="s">
        <v>170</v>
      </c>
      <c r="E65" s="11" t="s">
        <v>13</v>
      </c>
      <c r="F65" s="11"/>
      <c r="G65" s="11"/>
      <c r="H65" s="14"/>
      <c r="I65" s="14"/>
    </row>
    <row r="66" spans="1:9" ht="25.5" customHeight="1" x14ac:dyDescent="0.35">
      <c r="A66" s="9" t="s">
        <v>171</v>
      </c>
      <c r="B66" s="10" t="s">
        <v>38</v>
      </c>
      <c r="C66" s="10" t="s">
        <v>157</v>
      </c>
      <c r="D66" s="10" t="s">
        <v>172</v>
      </c>
      <c r="E66" s="11" t="s">
        <v>13</v>
      </c>
      <c r="F66" s="11"/>
      <c r="G66" s="11"/>
      <c r="H66" s="14"/>
      <c r="I66" s="14"/>
    </row>
    <row r="67" spans="1:9" ht="25.5" customHeight="1" x14ac:dyDescent="0.35">
      <c r="A67" s="9" t="s">
        <v>173</v>
      </c>
      <c r="B67" s="10" t="s">
        <v>38</v>
      </c>
      <c r="C67" s="10" t="s">
        <v>157</v>
      </c>
      <c r="D67" s="10" t="s">
        <v>174</v>
      </c>
      <c r="E67" s="11" t="s">
        <v>13</v>
      </c>
      <c r="F67" s="11"/>
      <c r="G67" s="11"/>
      <c r="H67" s="14"/>
      <c r="I67" s="14"/>
    </row>
    <row r="68" spans="1:9" ht="25.5" customHeight="1" x14ac:dyDescent="0.35">
      <c r="A68" s="9" t="s">
        <v>175</v>
      </c>
      <c r="B68" s="10" t="s">
        <v>38</v>
      </c>
      <c r="C68" s="10" t="s">
        <v>157</v>
      </c>
      <c r="D68" s="10" t="s">
        <v>176</v>
      </c>
      <c r="E68" s="11" t="s">
        <v>13</v>
      </c>
      <c r="F68" s="11"/>
      <c r="G68" s="11"/>
      <c r="H68" s="14"/>
      <c r="I68" s="14"/>
    </row>
    <row r="69" spans="1:9" ht="25.5" customHeight="1" x14ac:dyDescent="0.35">
      <c r="A69" s="9" t="s">
        <v>177</v>
      </c>
      <c r="B69" s="10" t="s">
        <v>38</v>
      </c>
      <c r="C69" s="10" t="s">
        <v>157</v>
      </c>
      <c r="D69" s="10" t="s">
        <v>178</v>
      </c>
      <c r="E69" s="11" t="s">
        <v>13</v>
      </c>
      <c r="F69" s="11"/>
      <c r="G69" s="11"/>
      <c r="H69" s="14"/>
      <c r="I69" s="14"/>
    </row>
    <row r="70" spans="1:9" ht="25.5" customHeight="1" x14ac:dyDescent="0.35">
      <c r="A70" s="9" t="s">
        <v>179</v>
      </c>
      <c r="B70" s="10" t="s">
        <v>38</v>
      </c>
      <c r="C70" s="10" t="s">
        <v>157</v>
      </c>
      <c r="D70" s="10" t="s">
        <v>180</v>
      </c>
      <c r="E70" s="11" t="s">
        <v>13</v>
      </c>
      <c r="F70" s="11"/>
      <c r="G70" s="11"/>
      <c r="H70" s="14"/>
      <c r="I70" s="14"/>
    </row>
    <row r="71" spans="1:9" ht="25.5" customHeight="1" x14ac:dyDescent="0.35">
      <c r="A71" s="9" t="s">
        <v>181</v>
      </c>
      <c r="B71" s="10" t="s">
        <v>38</v>
      </c>
      <c r="C71" s="10" t="s">
        <v>157</v>
      </c>
      <c r="D71" s="10" t="s">
        <v>182</v>
      </c>
      <c r="E71" s="11" t="s">
        <v>15</v>
      </c>
      <c r="F71" s="11"/>
      <c r="G71" s="11"/>
      <c r="H71" s="14"/>
      <c r="I71" s="14"/>
    </row>
    <row r="72" spans="1:9" ht="39" customHeight="1" x14ac:dyDescent="0.35">
      <c r="A72" s="9" t="s">
        <v>183</v>
      </c>
      <c r="B72" s="10" t="s">
        <v>38</v>
      </c>
      <c r="C72" s="10" t="s">
        <v>184</v>
      </c>
      <c r="D72" s="10" t="s">
        <v>185</v>
      </c>
      <c r="E72" s="11" t="s">
        <v>15</v>
      </c>
      <c r="F72" s="11"/>
      <c r="G72" s="11"/>
      <c r="H72" s="14"/>
      <c r="I72" s="14"/>
    </row>
    <row r="73" spans="1:9" ht="25.5" customHeight="1" x14ac:dyDescent="0.35">
      <c r="A73" s="9" t="s">
        <v>186</v>
      </c>
      <c r="B73" s="10" t="s">
        <v>38</v>
      </c>
      <c r="C73" s="10" t="s">
        <v>184</v>
      </c>
      <c r="D73" s="10" t="s">
        <v>187</v>
      </c>
      <c r="E73" s="11" t="s">
        <v>15</v>
      </c>
      <c r="F73" s="11"/>
      <c r="G73" s="11"/>
      <c r="H73" s="14"/>
      <c r="I73" s="14"/>
    </row>
    <row r="74" spans="1:9" ht="25.5" customHeight="1" x14ac:dyDescent="0.35">
      <c r="A74" s="9" t="s">
        <v>188</v>
      </c>
      <c r="B74" s="10" t="s">
        <v>38</v>
      </c>
      <c r="C74" s="10" t="s">
        <v>184</v>
      </c>
      <c r="D74" s="10" t="s">
        <v>189</v>
      </c>
      <c r="E74" s="11" t="s">
        <v>15</v>
      </c>
      <c r="F74" s="11"/>
      <c r="G74" s="11"/>
      <c r="H74" s="14"/>
      <c r="I74" s="14"/>
    </row>
    <row r="75" spans="1:9" ht="25.5" customHeight="1" x14ac:dyDescent="0.35">
      <c r="A75" s="9" t="s">
        <v>190</v>
      </c>
      <c r="B75" s="10" t="s">
        <v>38</v>
      </c>
      <c r="C75" s="10" t="s">
        <v>184</v>
      </c>
      <c r="D75" s="10" t="s">
        <v>191</v>
      </c>
      <c r="E75" s="11" t="s">
        <v>15</v>
      </c>
      <c r="F75" s="11"/>
      <c r="G75" s="11"/>
      <c r="H75" s="14"/>
      <c r="I75" s="14"/>
    </row>
    <row r="76" spans="1:9" ht="25.5" customHeight="1" x14ac:dyDescent="0.35">
      <c r="A76" s="9" t="s">
        <v>192</v>
      </c>
      <c r="B76" s="10" t="s">
        <v>38</v>
      </c>
      <c r="C76" s="10" t="s">
        <v>184</v>
      </c>
      <c r="D76" s="10" t="s">
        <v>193</v>
      </c>
      <c r="E76" s="11" t="s">
        <v>15</v>
      </c>
      <c r="F76" s="11"/>
      <c r="G76" s="11"/>
      <c r="H76" s="14"/>
      <c r="I76" s="14"/>
    </row>
    <row r="77" spans="1:9" ht="25.5" customHeight="1" x14ac:dyDescent="0.35">
      <c r="A77" s="9" t="s">
        <v>194</v>
      </c>
      <c r="B77" s="10" t="s">
        <v>38</v>
      </c>
      <c r="C77" s="10" t="s">
        <v>184</v>
      </c>
      <c r="D77" s="10" t="s">
        <v>195</v>
      </c>
      <c r="E77" s="11" t="s">
        <v>15</v>
      </c>
      <c r="F77" s="11"/>
      <c r="G77" s="11"/>
      <c r="H77" s="14"/>
      <c r="I77" s="14"/>
    </row>
    <row r="78" spans="1:9" ht="25.5" customHeight="1" x14ac:dyDescent="0.35">
      <c r="A78" s="9" t="s">
        <v>196</v>
      </c>
      <c r="B78" s="10" t="s">
        <v>38</v>
      </c>
      <c r="C78" s="10" t="s">
        <v>184</v>
      </c>
      <c r="D78" s="10" t="s">
        <v>197</v>
      </c>
      <c r="E78" s="11" t="s">
        <v>15</v>
      </c>
      <c r="F78" s="11"/>
      <c r="G78" s="11"/>
      <c r="H78" s="14"/>
      <c r="I78" s="14"/>
    </row>
    <row r="79" spans="1:9" ht="25.5" customHeight="1" x14ac:dyDescent="0.35">
      <c r="A79" s="9" t="s">
        <v>198</v>
      </c>
      <c r="B79" s="10" t="s">
        <v>38</v>
      </c>
      <c r="C79" s="10" t="s">
        <v>184</v>
      </c>
      <c r="D79" s="10" t="s">
        <v>199</v>
      </c>
      <c r="E79" s="11" t="s">
        <v>15</v>
      </c>
      <c r="F79" s="11"/>
      <c r="G79" s="11"/>
      <c r="H79" s="14"/>
      <c r="I79" s="14"/>
    </row>
    <row r="80" spans="1:9" ht="25.5" customHeight="1" x14ac:dyDescent="0.35">
      <c r="A80" s="9" t="s">
        <v>200</v>
      </c>
      <c r="B80" s="10" t="s">
        <v>38</v>
      </c>
      <c r="C80" s="10" t="s">
        <v>184</v>
      </c>
      <c r="D80" s="10" t="s">
        <v>201</v>
      </c>
      <c r="E80" s="11" t="s">
        <v>15</v>
      </c>
      <c r="F80" s="11"/>
      <c r="G80" s="11"/>
      <c r="H80" s="14"/>
      <c r="I80" s="14"/>
    </row>
    <row r="81" spans="1:9" ht="25.5" customHeight="1" x14ac:dyDescent="0.35">
      <c r="A81" s="9" t="s">
        <v>202</v>
      </c>
      <c r="B81" s="10" t="s">
        <v>38</v>
      </c>
      <c r="C81" s="10" t="s">
        <v>184</v>
      </c>
      <c r="D81" s="10" t="s">
        <v>203</v>
      </c>
      <c r="E81" s="11" t="s">
        <v>15</v>
      </c>
      <c r="F81" s="11"/>
      <c r="G81" s="11"/>
      <c r="H81" s="14"/>
      <c r="I81" s="14"/>
    </row>
    <row r="82" spans="1:9" ht="25.5" customHeight="1" x14ac:dyDescent="0.35">
      <c r="A82" s="9" t="s">
        <v>204</v>
      </c>
      <c r="B82" s="10" t="s">
        <v>38</v>
      </c>
      <c r="C82" s="10" t="s">
        <v>184</v>
      </c>
      <c r="D82" s="10" t="s">
        <v>205</v>
      </c>
      <c r="E82" s="11" t="s">
        <v>15</v>
      </c>
      <c r="F82" s="11"/>
      <c r="G82" s="11"/>
      <c r="H82" s="14"/>
      <c r="I82" s="14"/>
    </row>
    <row r="83" spans="1:9" ht="25.5" customHeight="1" x14ac:dyDescent="0.35">
      <c r="A83" s="9" t="s">
        <v>206</v>
      </c>
      <c r="B83" s="10" t="s">
        <v>38</v>
      </c>
      <c r="C83" s="10" t="s">
        <v>184</v>
      </c>
      <c r="D83" s="10" t="s">
        <v>207</v>
      </c>
      <c r="E83" s="11" t="s">
        <v>15</v>
      </c>
      <c r="F83" s="11"/>
      <c r="G83" s="11"/>
      <c r="H83" s="14"/>
      <c r="I83" s="14"/>
    </row>
    <row r="84" spans="1:9" ht="25.5" customHeight="1" x14ac:dyDescent="0.35">
      <c r="A84" s="9" t="s">
        <v>208</v>
      </c>
      <c r="B84" s="10" t="s">
        <v>38</v>
      </c>
      <c r="C84" s="10" t="s">
        <v>184</v>
      </c>
      <c r="D84" s="10" t="s">
        <v>209</v>
      </c>
      <c r="E84" s="11" t="s">
        <v>15</v>
      </c>
      <c r="F84" s="11"/>
      <c r="G84" s="11"/>
      <c r="H84" s="14"/>
      <c r="I84" s="14"/>
    </row>
    <row r="85" spans="1:9" ht="25.5" customHeight="1" x14ac:dyDescent="0.35">
      <c r="A85" s="9" t="s">
        <v>210</v>
      </c>
      <c r="B85" s="10" t="s">
        <v>38</v>
      </c>
      <c r="C85" s="10" t="s">
        <v>211</v>
      </c>
      <c r="D85" s="10" t="s">
        <v>212</v>
      </c>
      <c r="E85" s="11" t="s">
        <v>13</v>
      </c>
      <c r="F85" s="11"/>
      <c r="G85" s="11"/>
      <c r="H85" s="14"/>
      <c r="I85" s="14"/>
    </row>
    <row r="86" spans="1:9" ht="25.5" customHeight="1" x14ac:dyDescent="0.35">
      <c r="A86" s="9" t="s">
        <v>213</v>
      </c>
      <c r="B86" s="10" t="s">
        <v>38</v>
      </c>
      <c r="C86" s="10" t="s">
        <v>211</v>
      </c>
      <c r="D86" s="10" t="s">
        <v>214</v>
      </c>
      <c r="E86" s="11" t="s">
        <v>13</v>
      </c>
      <c r="F86" s="11"/>
      <c r="G86" s="11"/>
      <c r="H86" s="14"/>
      <c r="I86" s="14"/>
    </row>
    <row r="87" spans="1:9" ht="25.5" customHeight="1" x14ac:dyDescent="0.35">
      <c r="A87" s="9" t="s">
        <v>215</v>
      </c>
      <c r="B87" s="10" t="s">
        <v>38</v>
      </c>
      <c r="C87" s="10" t="s">
        <v>211</v>
      </c>
      <c r="D87" s="10" t="s">
        <v>216</v>
      </c>
      <c r="E87" s="11" t="s">
        <v>13</v>
      </c>
      <c r="F87" s="11"/>
      <c r="G87" s="11"/>
      <c r="H87" s="14"/>
      <c r="I87" s="14"/>
    </row>
    <row r="88" spans="1:9" ht="25.5" customHeight="1" x14ac:dyDescent="0.35">
      <c r="A88" s="9" t="s">
        <v>217</v>
      </c>
      <c r="B88" s="10" t="s">
        <v>38</v>
      </c>
      <c r="C88" s="10" t="s">
        <v>211</v>
      </c>
      <c r="D88" s="10" t="s">
        <v>218</v>
      </c>
      <c r="E88" s="11" t="s">
        <v>13</v>
      </c>
      <c r="F88" s="11"/>
      <c r="G88" s="11"/>
      <c r="H88" s="14"/>
      <c r="I88" s="14"/>
    </row>
    <row r="89" spans="1:9" ht="25.5" customHeight="1" x14ac:dyDescent="0.35">
      <c r="A89" s="9" t="s">
        <v>219</v>
      </c>
      <c r="B89" s="10" t="s">
        <v>38</v>
      </c>
      <c r="C89" s="10" t="s">
        <v>211</v>
      </c>
      <c r="D89" s="10" t="s">
        <v>220</v>
      </c>
      <c r="E89" s="11" t="s">
        <v>13</v>
      </c>
      <c r="F89" s="11"/>
      <c r="G89" s="11"/>
      <c r="H89" s="14"/>
      <c r="I89" s="14"/>
    </row>
    <row r="90" spans="1:9" ht="25.5" customHeight="1" x14ac:dyDescent="0.35">
      <c r="A90" s="9" t="s">
        <v>221</v>
      </c>
      <c r="B90" s="10" t="s">
        <v>38</v>
      </c>
      <c r="C90" s="10" t="s">
        <v>211</v>
      </c>
      <c r="D90" s="10" t="s">
        <v>222</v>
      </c>
      <c r="E90" s="11" t="s">
        <v>13</v>
      </c>
      <c r="F90" s="11"/>
      <c r="G90" s="11"/>
      <c r="H90" s="14"/>
      <c r="I90" s="14"/>
    </row>
    <row r="91" spans="1:9" ht="25.5" customHeight="1" x14ac:dyDescent="0.35">
      <c r="A91" s="9" t="s">
        <v>223</v>
      </c>
      <c r="B91" s="10" t="s">
        <v>38</v>
      </c>
      <c r="C91" s="10" t="s">
        <v>224</v>
      </c>
      <c r="D91" s="10" t="s">
        <v>225</v>
      </c>
      <c r="E91" s="11" t="s">
        <v>13</v>
      </c>
      <c r="F91" s="11"/>
      <c r="G91" s="11"/>
      <c r="H91" s="14"/>
      <c r="I91" s="14"/>
    </row>
    <row r="92" spans="1:9" ht="25.5" customHeight="1" x14ac:dyDescent="0.35">
      <c r="A92" s="9" t="s">
        <v>226</v>
      </c>
      <c r="B92" s="10" t="s">
        <v>38</v>
      </c>
      <c r="C92" s="10" t="s">
        <v>224</v>
      </c>
      <c r="D92" s="10" t="s">
        <v>227</v>
      </c>
      <c r="E92" s="11" t="s">
        <v>13</v>
      </c>
      <c r="F92" s="11"/>
      <c r="G92" s="11"/>
      <c r="H92" s="14"/>
      <c r="I92" s="14"/>
    </row>
    <row r="93" spans="1:9" ht="25.5" customHeight="1" x14ac:dyDescent="0.35">
      <c r="A93" s="9" t="s">
        <v>228</v>
      </c>
      <c r="B93" s="10" t="s">
        <v>38</v>
      </c>
      <c r="C93" s="10" t="s">
        <v>224</v>
      </c>
      <c r="D93" s="10" t="s">
        <v>229</v>
      </c>
      <c r="E93" s="11" t="s">
        <v>13</v>
      </c>
      <c r="F93" s="11"/>
      <c r="G93" s="11"/>
      <c r="H93" s="14"/>
      <c r="I93" s="14"/>
    </row>
    <row r="94" spans="1:9" ht="25.5" customHeight="1" x14ac:dyDescent="0.35">
      <c r="A94" s="9" t="s">
        <v>230</v>
      </c>
      <c r="B94" s="10" t="s">
        <v>38</v>
      </c>
      <c r="C94" s="10" t="s">
        <v>224</v>
      </c>
      <c r="D94" s="10" t="s">
        <v>231</v>
      </c>
      <c r="E94" s="11" t="s">
        <v>13</v>
      </c>
      <c r="F94" s="11"/>
      <c r="G94" s="11"/>
      <c r="H94" s="14"/>
      <c r="I94" s="14"/>
    </row>
    <row r="95" spans="1:9" ht="25.5" customHeight="1" x14ac:dyDescent="0.35">
      <c r="A95" s="9" t="s">
        <v>232</v>
      </c>
      <c r="B95" s="10" t="s">
        <v>38</v>
      </c>
      <c r="C95" s="10" t="s">
        <v>224</v>
      </c>
      <c r="D95" s="10" t="s">
        <v>233</v>
      </c>
      <c r="E95" s="11" t="s">
        <v>13</v>
      </c>
      <c r="F95" s="11"/>
      <c r="G95" s="11"/>
      <c r="H95" s="14"/>
      <c r="I95" s="14"/>
    </row>
    <row r="96" spans="1:9" ht="25.5" customHeight="1" x14ac:dyDescent="0.35">
      <c r="A96" s="9" t="s">
        <v>234</v>
      </c>
      <c r="B96" s="10" t="s">
        <v>38</v>
      </c>
      <c r="C96" s="10" t="s">
        <v>224</v>
      </c>
      <c r="D96" s="10" t="s">
        <v>235</v>
      </c>
      <c r="E96" s="11" t="s">
        <v>13</v>
      </c>
      <c r="F96" s="11"/>
      <c r="G96" s="11"/>
      <c r="H96" s="14"/>
      <c r="I96" s="14"/>
    </row>
    <row r="97" spans="1:9" ht="25.5" customHeight="1" x14ac:dyDescent="0.35">
      <c r="A97" s="9" t="s">
        <v>236</v>
      </c>
      <c r="B97" s="10" t="s">
        <v>38</v>
      </c>
      <c r="C97" s="10" t="s">
        <v>224</v>
      </c>
      <c r="D97" s="10" t="s">
        <v>237</v>
      </c>
      <c r="E97" s="11" t="s">
        <v>13</v>
      </c>
      <c r="F97" s="11"/>
      <c r="G97" s="11"/>
      <c r="H97" s="14"/>
      <c r="I97" s="14"/>
    </row>
    <row r="98" spans="1:9" ht="25.5" customHeight="1" x14ac:dyDescent="0.35">
      <c r="A98" s="9" t="s">
        <v>238</v>
      </c>
      <c r="B98" s="10" t="s">
        <v>38</v>
      </c>
      <c r="C98" s="10" t="s">
        <v>224</v>
      </c>
      <c r="D98" s="10" t="s">
        <v>239</v>
      </c>
      <c r="E98" s="11" t="s">
        <v>13</v>
      </c>
      <c r="F98" s="11"/>
      <c r="G98" s="11"/>
      <c r="H98" s="14"/>
      <c r="I98" s="14"/>
    </row>
    <row r="99" spans="1:9" ht="25.5" customHeight="1" x14ac:dyDescent="0.35">
      <c r="A99" s="9" t="s">
        <v>240</v>
      </c>
      <c r="B99" s="10" t="s">
        <v>38</v>
      </c>
      <c r="C99" s="10" t="s">
        <v>224</v>
      </c>
      <c r="D99" s="10" t="s">
        <v>241</v>
      </c>
      <c r="E99" s="11" t="s">
        <v>13</v>
      </c>
      <c r="F99" s="11"/>
      <c r="G99" s="11"/>
      <c r="H99" s="14"/>
      <c r="I99" s="14"/>
    </row>
    <row r="100" spans="1:9" ht="25.5" customHeight="1" x14ac:dyDescent="0.35">
      <c r="A100" s="9" t="s">
        <v>242</v>
      </c>
      <c r="B100" s="10" t="s">
        <v>38</v>
      </c>
      <c r="C100" s="10" t="s">
        <v>243</v>
      </c>
      <c r="D100" s="10" t="s">
        <v>244</v>
      </c>
      <c r="E100" s="11" t="s">
        <v>13</v>
      </c>
      <c r="F100" s="11"/>
      <c r="G100" s="11"/>
      <c r="H100" s="14"/>
      <c r="I100" s="14"/>
    </row>
    <row r="101" spans="1:9" ht="25.5" customHeight="1" x14ac:dyDescent="0.35">
      <c r="A101" s="9" t="s">
        <v>245</v>
      </c>
      <c r="B101" s="10" t="s">
        <v>38</v>
      </c>
      <c r="C101" s="10" t="s">
        <v>243</v>
      </c>
      <c r="D101" s="10" t="s">
        <v>246</v>
      </c>
      <c r="E101" s="11" t="s">
        <v>13</v>
      </c>
      <c r="F101" s="11"/>
      <c r="G101" s="11"/>
      <c r="H101" s="14"/>
      <c r="I101" s="14"/>
    </row>
    <row r="102" spans="1:9" ht="25.5" customHeight="1" x14ac:dyDescent="0.35">
      <c r="A102" s="9" t="s">
        <v>247</v>
      </c>
      <c r="B102" s="10" t="s">
        <v>38</v>
      </c>
      <c r="C102" s="10" t="s">
        <v>243</v>
      </c>
      <c r="D102" s="10" t="s">
        <v>248</v>
      </c>
      <c r="E102" s="11" t="s">
        <v>13</v>
      </c>
      <c r="F102" s="11"/>
      <c r="G102" s="11"/>
      <c r="H102" s="14"/>
      <c r="I102" s="14"/>
    </row>
    <row r="103" spans="1:9" ht="25.5" customHeight="1" x14ac:dyDescent="0.35">
      <c r="A103" s="9" t="s">
        <v>249</v>
      </c>
      <c r="B103" s="10" t="s">
        <v>38</v>
      </c>
      <c r="C103" s="10" t="s">
        <v>243</v>
      </c>
      <c r="D103" s="10" t="s">
        <v>250</v>
      </c>
      <c r="E103" s="11" t="s">
        <v>13</v>
      </c>
      <c r="F103" s="11"/>
      <c r="G103" s="11"/>
      <c r="H103" s="14"/>
      <c r="I103" s="14"/>
    </row>
    <row r="104" spans="1:9" ht="25.5" customHeight="1" x14ac:dyDescent="0.35">
      <c r="A104" s="9" t="s">
        <v>251</v>
      </c>
      <c r="B104" s="10" t="s">
        <v>38</v>
      </c>
      <c r="C104" s="10" t="s">
        <v>243</v>
      </c>
      <c r="D104" s="10" t="s">
        <v>252</v>
      </c>
      <c r="E104" s="11" t="s">
        <v>13</v>
      </c>
      <c r="F104" s="11"/>
      <c r="G104" s="11"/>
      <c r="H104" s="14"/>
      <c r="I104" s="14"/>
    </row>
    <row r="105" spans="1:9" ht="25.5" customHeight="1" x14ac:dyDescent="0.35">
      <c r="A105" s="9" t="s">
        <v>253</v>
      </c>
      <c r="B105" s="10" t="s">
        <v>38</v>
      </c>
      <c r="C105" s="10" t="s">
        <v>243</v>
      </c>
      <c r="D105" s="10" t="s">
        <v>254</v>
      </c>
      <c r="E105" s="11" t="s">
        <v>13</v>
      </c>
      <c r="F105" s="11"/>
      <c r="G105" s="11"/>
      <c r="H105" s="14"/>
      <c r="I105" s="14"/>
    </row>
    <row r="106" spans="1:9" ht="25.5" customHeight="1" x14ac:dyDescent="0.35">
      <c r="A106" s="9" t="s">
        <v>255</v>
      </c>
      <c r="B106" s="10" t="s">
        <v>38</v>
      </c>
      <c r="C106" s="10" t="s">
        <v>243</v>
      </c>
      <c r="D106" s="10" t="s">
        <v>256</v>
      </c>
      <c r="E106" s="11" t="s">
        <v>13</v>
      </c>
      <c r="F106" s="11"/>
      <c r="G106" s="11"/>
      <c r="H106" s="14"/>
      <c r="I106" s="14"/>
    </row>
    <row r="107" spans="1:9" ht="25.5" customHeight="1" x14ac:dyDescent="0.35">
      <c r="A107" s="9" t="s">
        <v>257</v>
      </c>
      <c r="B107" s="10" t="s">
        <v>38</v>
      </c>
      <c r="C107" s="10" t="s">
        <v>258</v>
      </c>
      <c r="D107" s="10" t="s">
        <v>259</v>
      </c>
      <c r="E107" s="11" t="s">
        <v>11</v>
      </c>
      <c r="F107" s="11"/>
      <c r="G107" s="11"/>
      <c r="H107" s="14"/>
      <c r="I107" s="14"/>
    </row>
    <row r="108" spans="1:9" ht="25.5" customHeight="1" x14ac:dyDescent="0.35">
      <c r="A108" s="9" t="s">
        <v>260</v>
      </c>
      <c r="B108" s="10" t="s">
        <v>38</v>
      </c>
      <c r="C108" s="10" t="s">
        <v>258</v>
      </c>
      <c r="D108" s="10" t="s">
        <v>261</v>
      </c>
      <c r="E108" s="11" t="s">
        <v>11</v>
      </c>
      <c r="F108" s="11"/>
      <c r="G108" s="11"/>
      <c r="H108" s="14"/>
      <c r="I108" s="14"/>
    </row>
    <row r="109" spans="1:9" ht="25.5" customHeight="1" x14ac:dyDescent="0.35">
      <c r="A109" s="9" t="s">
        <v>262</v>
      </c>
      <c r="B109" s="10" t="s">
        <v>38</v>
      </c>
      <c r="C109" s="10" t="s">
        <v>258</v>
      </c>
      <c r="D109" s="10" t="s">
        <v>263</v>
      </c>
      <c r="E109" s="11" t="s">
        <v>13</v>
      </c>
      <c r="F109" s="11"/>
      <c r="G109" s="11"/>
      <c r="H109" s="14"/>
      <c r="I109" s="14"/>
    </row>
    <row r="110" spans="1:9" ht="25.5" customHeight="1" x14ac:dyDescent="0.35">
      <c r="A110" s="9" t="s">
        <v>264</v>
      </c>
      <c r="B110" s="10" t="s">
        <v>38</v>
      </c>
      <c r="C110" s="10" t="s">
        <v>258</v>
      </c>
      <c r="D110" s="10" t="s">
        <v>265</v>
      </c>
      <c r="E110" s="11" t="s">
        <v>11</v>
      </c>
      <c r="F110" s="11"/>
      <c r="G110" s="11"/>
      <c r="H110" s="14"/>
      <c r="I110" s="14"/>
    </row>
    <row r="111" spans="1:9" ht="25.5" customHeight="1" x14ac:dyDescent="0.35">
      <c r="A111" s="9" t="s">
        <v>266</v>
      </c>
      <c r="B111" s="10" t="s">
        <v>38</v>
      </c>
      <c r="C111" s="10" t="s">
        <v>258</v>
      </c>
      <c r="D111" s="10" t="s">
        <v>267</v>
      </c>
      <c r="E111" s="11" t="s">
        <v>11</v>
      </c>
      <c r="F111" s="11"/>
      <c r="G111" s="11"/>
      <c r="H111" s="14"/>
      <c r="I111" s="14"/>
    </row>
    <row r="112" spans="1:9" ht="25.5" customHeight="1" x14ac:dyDescent="0.35">
      <c r="A112" s="9" t="s">
        <v>268</v>
      </c>
      <c r="B112" s="10" t="s">
        <v>38</v>
      </c>
      <c r="C112" s="10" t="s">
        <v>258</v>
      </c>
      <c r="D112" s="10" t="s">
        <v>269</v>
      </c>
      <c r="E112" s="11" t="s">
        <v>11</v>
      </c>
      <c r="F112" s="11"/>
      <c r="G112" s="11"/>
      <c r="H112" s="14"/>
      <c r="I112" s="14"/>
    </row>
    <row r="113" spans="1:9" ht="25.5" customHeight="1" x14ac:dyDescent="0.35">
      <c r="A113" s="9" t="s">
        <v>270</v>
      </c>
      <c r="B113" s="10" t="s">
        <v>38</v>
      </c>
      <c r="C113" s="10" t="s">
        <v>258</v>
      </c>
      <c r="D113" s="10" t="s">
        <v>271</v>
      </c>
      <c r="E113" s="11" t="s">
        <v>11</v>
      </c>
      <c r="F113" s="11"/>
      <c r="G113" s="11"/>
      <c r="H113" s="14"/>
      <c r="I113" s="14"/>
    </row>
    <row r="114" spans="1:9" ht="25.5" customHeight="1" x14ac:dyDescent="0.35">
      <c r="A114" s="9" t="s">
        <v>272</v>
      </c>
      <c r="B114" s="10" t="s">
        <v>38</v>
      </c>
      <c r="C114" s="10" t="s">
        <v>258</v>
      </c>
      <c r="D114" s="10" t="s">
        <v>273</v>
      </c>
      <c r="E114" s="11" t="s">
        <v>13</v>
      </c>
      <c r="F114" s="11"/>
      <c r="G114" s="11"/>
      <c r="H114" s="14"/>
      <c r="I114" s="14"/>
    </row>
    <row r="115" spans="1:9" ht="25.5" customHeight="1" x14ac:dyDescent="0.35">
      <c r="A115" s="9" t="s">
        <v>274</v>
      </c>
      <c r="B115" s="10" t="s">
        <v>38</v>
      </c>
      <c r="C115" s="10" t="s">
        <v>258</v>
      </c>
      <c r="D115" s="10" t="s">
        <v>275</v>
      </c>
      <c r="E115" s="11" t="s">
        <v>15</v>
      </c>
      <c r="F115" s="11"/>
      <c r="G115" s="11"/>
      <c r="H115" s="14"/>
      <c r="I115" s="14"/>
    </row>
    <row r="116" spans="1:9" ht="25.5" customHeight="1" x14ac:dyDescent="0.35">
      <c r="A116" s="9" t="s">
        <v>276</v>
      </c>
      <c r="B116" s="10" t="s">
        <v>38</v>
      </c>
      <c r="C116" s="10" t="s">
        <v>258</v>
      </c>
      <c r="D116" s="10" t="s">
        <v>277</v>
      </c>
      <c r="E116" s="11" t="s">
        <v>11</v>
      </c>
      <c r="F116" s="11"/>
      <c r="G116" s="11"/>
      <c r="H116" s="14"/>
      <c r="I116" s="14"/>
    </row>
    <row r="117" spans="1:9" ht="25.5" customHeight="1" x14ac:dyDescent="0.35">
      <c r="A117" s="9" t="s">
        <v>278</v>
      </c>
      <c r="B117" s="10" t="s">
        <v>279</v>
      </c>
      <c r="C117" s="10" t="s">
        <v>280</v>
      </c>
      <c r="D117" s="10" t="s">
        <v>281</v>
      </c>
      <c r="E117" s="11" t="s">
        <v>13</v>
      </c>
      <c r="F117" s="11"/>
      <c r="G117" s="11"/>
      <c r="H117" s="14"/>
      <c r="I117" s="14"/>
    </row>
    <row r="118" spans="1:9" ht="25.5" customHeight="1" x14ac:dyDescent="0.35">
      <c r="A118" s="9" t="s">
        <v>282</v>
      </c>
      <c r="B118" s="10" t="s">
        <v>279</v>
      </c>
      <c r="C118" s="10" t="s">
        <v>280</v>
      </c>
      <c r="D118" s="10" t="s">
        <v>283</v>
      </c>
      <c r="E118" s="11" t="s">
        <v>13</v>
      </c>
      <c r="F118" s="11"/>
      <c r="G118" s="11"/>
      <c r="H118" s="14"/>
      <c r="I118" s="14"/>
    </row>
    <row r="119" spans="1:9" ht="25.5" customHeight="1" x14ac:dyDescent="0.35">
      <c r="A119" s="9" t="s">
        <v>284</v>
      </c>
      <c r="B119" s="10" t="s">
        <v>279</v>
      </c>
      <c r="C119" s="10" t="s">
        <v>280</v>
      </c>
      <c r="D119" s="10" t="s">
        <v>285</v>
      </c>
      <c r="E119" s="11" t="s">
        <v>13</v>
      </c>
      <c r="F119" s="11"/>
      <c r="G119" s="11"/>
      <c r="H119" s="14"/>
      <c r="I119" s="14"/>
    </row>
    <row r="120" spans="1:9" ht="25.5" customHeight="1" x14ac:dyDescent="0.35">
      <c r="A120" s="9" t="s">
        <v>286</v>
      </c>
      <c r="B120" s="10" t="s">
        <v>279</v>
      </c>
      <c r="C120" s="10" t="s">
        <v>280</v>
      </c>
      <c r="D120" s="10" t="s">
        <v>287</v>
      </c>
      <c r="E120" s="11" t="s">
        <v>13</v>
      </c>
      <c r="F120" s="11"/>
      <c r="G120" s="11"/>
      <c r="H120" s="14"/>
      <c r="I120" s="14"/>
    </row>
    <row r="121" spans="1:9" ht="25.5" customHeight="1" x14ac:dyDescent="0.35">
      <c r="A121" s="9" t="s">
        <v>288</v>
      </c>
      <c r="B121" s="10" t="s">
        <v>279</v>
      </c>
      <c r="C121" s="10" t="s">
        <v>280</v>
      </c>
      <c r="D121" s="10" t="s">
        <v>289</v>
      </c>
      <c r="E121" s="11" t="s">
        <v>13</v>
      </c>
      <c r="F121" s="11"/>
      <c r="G121" s="11"/>
      <c r="H121" s="14"/>
      <c r="I121" s="14"/>
    </row>
    <row r="122" spans="1:9" ht="25.5" customHeight="1" x14ac:dyDescent="0.35">
      <c r="A122" s="9" t="s">
        <v>290</v>
      </c>
      <c r="B122" s="10" t="s">
        <v>279</v>
      </c>
      <c r="C122" s="10" t="s">
        <v>280</v>
      </c>
      <c r="D122" s="10" t="s">
        <v>291</v>
      </c>
      <c r="E122" s="11" t="s">
        <v>13</v>
      </c>
      <c r="F122" s="11"/>
      <c r="G122" s="11"/>
      <c r="H122" s="14"/>
      <c r="I122" s="14"/>
    </row>
    <row r="123" spans="1:9" ht="25.5" customHeight="1" x14ac:dyDescent="0.35">
      <c r="A123" s="9" t="s">
        <v>292</v>
      </c>
      <c r="B123" s="10" t="s">
        <v>279</v>
      </c>
      <c r="C123" s="10" t="s">
        <v>280</v>
      </c>
      <c r="D123" s="10" t="s">
        <v>293</v>
      </c>
      <c r="E123" s="11" t="s">
        <v>13</v>
      </c>
      <c r="F123" s="11"/>
      <c r="G123" s="11"/>
      <c r="H123" s="14"/>
      <c r="I123" s="14"/>
    </row>
    <row r="124" spans="1:9" ht="25.5" customHeight="1" x14ac:dyDescent="0.35">
      <c r="A124" s="9" t="s">
        <v>294</v>
      </c>
      <c r="B124" s="10" t="s">
        <v>279</v>
      </c>
      <c r="C124" s="10" t="s">
        <v>280</v>
      </c>
      <c r="D124" s="10" t="s">
        <v>295</v>
      </c>
      <c r="E124" s="11" t="s">
        <v>13</v>
      </c>
      <c r="F124" s="11"/>
      <c r="G124" s="11"/>
      <c r="H124" s="14"/>
      <c r="I124" s="14"/>
    </row>
    <row r="125" spans="1:9" ht="25.5" customHeight="1" x14ac:dyDescent="0.35">
      <c r="A125" s="9" t="s">
        <v>296</v>
      </c>
      <c r="B125" s="10" t="s">
        <v>279</v>
      </c>
      <c r="C125" s="10" t="s">
        <v>280</v>
      </c>
      <c r="D125" s="10" t="s">
        <v>297</v>
      </c>
      <c r="E125" s="11" t="s">
        <v>13</v>
      </c>
      <c r="F125" s="11"/>
      <c r="G125" s="11"/>
      <c r="H125" s="14"/>
      <c r="I125" s="14"/>
    </row>
    <row r="126" spans="1:9" ht="25.5" customHeight="1" x14ac:dyDescent="0.35">
      <c r="A126" s="9" t="s">
        <v>298</v>
      </c>
      <c r="B126" s="10" t="s">
        <v>279</v>
      </c>
      <c r="C126" s="10" t="s">
        <v>280</v>
      </c>
      <c r="D126" s="10" t="s">
        <v>299</v>
      </c>
      <c r="E126" s="11" t="s">
        <v>13</v>
      </c>
      <c r="F126" s="11"/>
      <c r="G126" s="11"/>
      <c r="H126" s="14"/>
      <c r="I126" s="14"/>
    </row>
    <row r="127" spans="1:9" ht="25.5" customHeight="1" x14ac:dyDescent="0.35">
      <c r="A127" s="9" t="s">
        <v>300</v>
      </c>
      <c r="B127" s="10" t="s">
        <v>279</v>
      </c>
      <c r="C127" s="10" t="s">
        <v>280</v>
      </c>
      <c r="D127" s="10" t="s">
        <v>301</v>
      </c>
      <c r="E127" s="11" t="s">
        <v>13</v>
      </c>
      <c r="F127" s="11"/>
      <c r="G127" s="11"/>
      <c r="H127" s="14"/>
      <c r="I127" s="14"/>
    </row>
    <row r="128" spans="1:9" ht="25.5" customHeight="1" x14ac:dyDescent="0.35">
      <c r="A128" s="9" t="s">
        <v>302</v>
      </c>
      <c r="B128" s="10" t="s">
        <v>279</v>
      </c>
      <c r="C128" s="10" t="s">
        <v>280</v>
      </c>
      <c r="D128" s="10" t="s">
        <v>303</v>
      </c>
      <c r="E128" s="11" t="s">
        <v>13</v>
      </c>
      <c r="F128" s="11"/>
      <c r="G128" s="11"/>
      <c r="H128" s="14"/>
      <c r="I128" s="14"/>
    </row>
    <row r="129" spans="1:9" ht="25.5" customHeight="1" x14ac:dyDescent="0.35">
      <c r="A129" s="9" t="s">
        <v>304</v>
      </c>
      <c r="B129" s="10" t="s">
        <v>279</v>
      </c>
      <c r="C129" s="10" t="s">
        <v>280</v>
      </c>
      <c r="D129" s="10" t="s">
        <v>305</v>
      </c>
      <c r="E129" s="11" t="s">
        <v>13</v>
      </c>
      <c r="F129" s="11"/>
      <c r="G129" s="11"/>
      <c r="H129" s="14"/>
      <c r="I129" s="14"/>
    </row>
    <row r="130" spans="1:9" ht="25.5" customHeight="1" x14ac:dyDescent="0.35">
      <c r="A130" s="9" t="s">
        <v>306</v>
      </c>
      <c r="B130" s="10" t="s">
        <v>279</v>
      </c>
      <c r="C130" s="10" t="s">
        <v>280</v>
      </c>
      <c r="D130" s="10" t="s">
        <v>307</v>
      </c>
      <c r="E130" s="11" t="s">
        <v>13</v>
      </c>
      <c r="F130" s="11"/>
      <c r="G130" s="11"/>
      <c r="H130" s="14"/>
      <c r="I130" s="14"/>
    </row>
    <row r="131" spans="1:9" ht="25.5" customHeight="1" x14ac:dyDescent="0.35">
      <c r="A131" s="9" t="s">
        <v>308</v>
      </c>
      <c r="B131" s="10" t="s">
        <v>279</v>
      </c>
      <c r="C131" s="10" t="s">
        <v>309</v>
      </c>
      <c r="D131" s="10" t="s">
        <v>310</v>
      </c>
      <c r="E131" s="11" t="s">
        <v>13</v>
      </c>
      <c r="F131" s="11"/>
      <c r="G131" s="11"/>
      <c r="H131" s="14"/>
      <c r="I131" s="14"/>
    </row>
    <row r="132" spans="1:9" ht="25.5" customHeight="1" x14ac:dyDescent="0.35">
      <c r="A132" s="9" t="s">
        <v>311</v>
      </c>
      <c r="B132" s="10" t="s">
        <v>279</v>
      </c>
      <c r="C132" s="10" t="s">
        <v>309</v>
      </c>
      <c r="D132" s="10" t="s">
        <v>312</v>
      </c>
      <c r="E132" s="11" t="s">
        <v>13</v>
      </c>
      <c r="F132" s="11"/>
      <c r="G132" s="11"/>
      <c r="H132" s="14"/>
      <c r="I132" s="14"/>
    </row>
    <row r="133" spans="1:9" ht="25.5" customHeight="1" x14ac:dyDescent="0.35">
      <c r="A133" s="9" t="s">
        <v>313</v>
      </c>
      <c r="B133" s="10" t="s">
        <v>279</v>
      </c>
      <c r="C133" s="10" t="s">
        <v>309</v>
      </c>
      <c r="D133" s="10" t="s">
        <v>314</v>
      </c>
      <c r="E133" s="11" t="s">
        <v>13</v>
      </c>
      <c r="F133" s="11"/>
      <c r="G133" s="11"/>
      <c r="H133" s="14"/>
      <c r="I133" s="14"/>
    </row>
    <row r="134" spans="1:9" ht="25.5" customHeight="1" x14ac:dyDescent="0.35">
      <c r="A134" s="9" t="s">
        <v>315</v>
      </c>
      <c r="B134" s="10" t="s">
        <v>279</v>
      </c>
      <c r="C134" s="10" t="s">
        <v>309</v>
      </c>
      <c r="D134" s="10" t="s">
        <v>316</v>
      </c>
      <c r="E134" s="11" t="s">
        <v>13</v>
      </c>
      <c r="F134" s="11"/>
      <c r="G134" s="11"/>
      <c r="H134" s="14"/>
      <c r="I134" s="14"/>
    </row>
    <row r="135" spans="1:9" ht="25.5" customHeight="1" x14ac:dyDescent="0.35">
      <c r="A135" s="9" t="s">
        <v>317</v>
      </c>
      <c r="B135" s="10" t="s">
        <v>279</v>
      </c>
      <c r="C135" s="10" t="s">
        <v>309</v>
      </c>
      <c r="D135" s="10" t="s">
        <v>318</v>
      </c>
      <c r="E135" s="11" t="s">
        <v>13</v>
      </c>
      <c r="F135" s="11"/>
      <c r="G135" s="11"/>
      <c r="H135" s="14"/>
      <c r="I135" s="14"/>
    </row>
    <row r="136" spans="1:9" ht="25.5" customHeight="1" x14ac:dyDescent="0.35">
      <c r="A136" s="9" t="s">
        <v>319</v>
      </c>
      <c r="B136" s="10" t="s">
        <v>279</v>
      </c>
      <c r="C136" s="10" t="s">
        <v>309</v>
      </c>
      <c r="D136" s="10" t="s">
        <v>320</v>
      </c>
      <c r="E136" s="11" t="s">
        <v>13</v>
      </c>
      <c r="F136" s="11"/>
      <c r="G136" s="11"/>
      <c r="H136" s="14"/>
      <c r="I136" s="14"/>
    </row>
    <row r="137" spans="1:9" ht="25.5" customHeight="1" x14ac:dyDescent="0.35">
      <c r="A137" s="9" t="s">
        <v>321</v>
      </c>
      <c r="B137" s="10" t="s">
        <v>279</v>
      </c>
      <c r="C137" s="10" t="s">
        <v>309</v>
      </c>
      <c r="D137" s="10" t="s">
        <v>322</v>
      </c>
      <c r="E137" s="11" t="s">
        <v>13</v>
      </c>
      <c r="F137" s="11"/>
      <c r="G137" s="11"/>
      <c r="H137" s="14"/>
      <c r="I137" s="14"/>
    </row>
    <row r="138" spans="1:9" ht="39" customHeight="1" x14ac:dyDescent="0.35">
      <c r="A138" s="9" t="s">
        <v>323</v>
      </c>
      <c r="B138" s="10" t="s">
        <v>279</v>
      </c>
      <c r="C138" s="10" t="s">
        <v>309</v>
      </c>
      <c r="D138" s="10" t="s">
        <v>324</v>
      </c>
      <c r="E138" s="11" t="s">
        <v>13</v>
      </c>
      <c r="F138" s="11"/>
      <c r="G138" s="11"/>
      <c r="H138" s="14"/>
      <c r="I138" s="14"/>
    </row>
    <row r="139" spans="1:9" ht="25.5" customHeight="1" x14ac:dyDescent="0.35">
      <c r="A139" s="9" t="s">
        <v>325</v>
      </c>
      <c r="B139" s="10" t="s">
        <v>279</v>
      </c>
      <c r="C139" s="10" t="s">
        <v>309</v>
      </c>
      <c r="D139" s="10" t="s">
        <v>326</v>
      </c>
      <c r="E139" s="11" t="s">
        <v>13</v>
      </c>
      <c r="F139" s="11"/>
      <c r="G139" s="11"/>
      <c r="H139" s="14"/>
      <c r="I139" s="14"/>
    </row>
    <row r="140" spans="1:9" ht="25.5" customHeight="1" x14ac:dyDescent="0.35">
      <c r="A140" s="9" t="s">
        <v>327</v>
      </c>
      <c r="B140" s="10" t="s">
        <v>279</v>
      </c>
      <c r="C140" s="10" t="s">
        <v>309</v>
      </c>
      <c r="D140" s="10" t="s">
        <v>328</v>
      </c>
      <c r="E140" s="11" t="s">
        <v>13</v>
      </c>
      <c r="F140" s="11"/>
      <c r="G140" s="11"/>
      <c r="H140" s="14"/>
      <c r="I140" s="14"/>
    </row>
    <row r="141" spans="1:9" ht="25.5" customHeight="1" x14ac:dyDescent="0.35">
      <c r="A141" s="9" t="s">
        <v>329</v>
      </c>
      <c r="B141" s="10" t="s">
        <v>279</v>
      </c>
      <c r="C141" s="10" t="s">
        <v>309</v>
      </c>
      <c r="D141" s="10" t="s">
        <v>330</v>
      </c>
      <c r="E141" s="11" t="s">
        <v>13</v>
      </c>
      <c r="F141" s="11"/>
      <c r="G141" s="11"/>
      <c r="H141" s="14"/>
      <c r="I141" s="14"/>
    </row>
    <row r="142" spans="1:9" ht="25.5" customHeight="1" x14ac:dyDescent="0.35">
      <c r="A142" s="9" t="s">
        <v>331</v>
      </c>
      <c r="B142" s="10" t="s">
        <v>279</v>
      </c>
      <c r="C142" s="10" t="s">
        <v>309</v>
      </c>
      <c r="D142" s="10" t="s">
        <v>332</v>
      </c>
      <c r="E142" s="11" t="s">
        <v>13</v>
      </c>
      <c r="F142" s="11"/>
      <c r="G142" s="11"/>
      <c r="H142" s="14"/>
      <c r="I142" s="14"/>
    </row>
    <row r="143" spans="1:9" ht="25.5" customHeight="1" x14ac:dyDescent="0.35">
      <c r="A143" s="9" t="s">
        <v>333</v>
      </c>
      <c r="B143" s="10" t="s">
        <v>279</v>
      </c>
      <c r="C143" s="10" t="s">
        <v>309</v>
      </c>
      <c r="D143" s="10" t="s">
        <v>334</v>
      </c>
      <c r="E143" s="11" t="s">
        <v>13</v>
      </c>
      <c r="F143" s="11"/>
      <c r="G143" s="11"/>
      <c r="H143" s="14"/>
      <c r="I143" s="14"/>
    </row>
    <row r="144" spans="1:9" ht="25.5" customHeight="1" x14ac:dyDescent="0.35">
      <c r="A144" s="9" t="s">
        <v>335</v>
      </c>
      <c r="B144" s="10" t="s">
        <v>279</v>
      </c>
      <c r="C144" s="10" t="s">
        <v>309</v>
      </c>
      <c r="D144" s="10" t="s">
        <v>336</v>
      </c>
      <c r="E144" s="11" t="s">
        <v>13</v>
      </c>
      <c r="F144" s="11"/>
      <c r="G144" s="11"/>
      <c r="H144" s="14"/>
      <c r="I144" s="14"/>
    </row>
    <row r="145" spans="1:9" ht="25.5" customHeight="1" x14ac:dyDescent="0.35">
      <c r="A145" s="9" t="s">
        <v>337</v>
      </c>
      <c r="B145" s="10" t="s">
        <v>279</v>
      </c>
      <c r="C145" s="10" t="s">
        <v>309</v>
      </c>
      <c r="D145" s="10" t="s">
        <v>338</v>
      </c>
      <c r="E145" s="11" t="s">
        <v>13</v>
      </c>
      <c r="F145" s="11"/>
      <c r="G145" s="11"/>
      <c r="H145" s="14"/>
      <c r="I145" s="14"/>
    </row>
    <row r="146" spans="1:9" ht="25.5" customHeight="1" x14ac:dyDescent="0.35">
      <c r="A146" s="9" t="s">
        <v>339</v>
      </c>
      <c r="B146" s="10" t="s">
        <v>279</v>
      </c>
      <c r="C146" s="10" t="s">
        <v>340</v>
      </c>
      <c r="D146" s="10" t="s">
        <v>341</v>
      </c>
      <c r="E146" s="11" t="s">
        <v>13</v>
      </c>
      <c r="F146" s="11"/>
      <c r="G146" s="11"/>
      <c r="H146" s="14"/>
      <c r="I146" s="14"/>
    </row>
    <row r="147" spans="1:9" ht="25.5" customHeight="1" x14ac:dyDescent="0.35">
      <c r="A147" s="9" t="s">
        <v>342</v>
      </c>
      <c r="B147" s="10" t="s">
        <v>279</v>
      </c>
      <c r="C147" s="10" t="s">
        <v>340</v>
      </c>
      <c r="D147" s="10" t="s">
        <v>343</v>
      </c>
      <c r="E147" s="11" t="s">
        <v>13</v>
      </c>
      <c r="F147" s="11"/>
      <c r="G147" s="11"/>
      <c r="H147" s="14"/>
      <c r="I147" s="14"/>
    </row>
    <row r="148" spans="1:9" ht="39" customHeight="1" x14ac:dyDescent="0.35">
      <c r="A148" s="9" t="s">
        <v>344</v>
      </c>
      <c r="B148" s="10" t="s">
        <v>279</v>
      </c>
      <c r="C148" s="10" t="s">
        <v>340</v>
      </c>
      <c r="D148" s="10" t="s">
        <v>345</v>
      </c>
      <c r="E148" s="11" t="s">
        <v>15</v>
      </c>
      <c r="F148" s="11"/>
      <c r="G148" s="11"/>
      <c r="H148" s="14"/>
      <c r="I148" s="14"/>
    </row>
    <row r="149" spans="1:9" ht="25.5" customHeight="1" x14ac:dyDescent="0.35">
      <c r="A149" s="9" t="s">
        <v>346</v>
      </c>
      <c r="B149" s="10" t="s">
        <v>279</v>
      </c>
      <c r="C149" s="10" t="s">
        <v>340</v>
      </c>
      <c r="D149" s="10" t="s">
        <v>347</v>
      </c>
      <c r="E149" s="11" t="s">
        <v>13</v>
      </c>
      <c r="F149" s="11"/>
      <c r="G149" s="11"/>
      <c r="H149" s="14"/>
      <c r="I149" s="14"/>
    </row>
    <row r="150" spans="1:9" ht="25.5" customHeight="1" x14ac:dyDescent="0.35">
      <c r="A150" s="9" t="s">
        <v>348</v>
      </c>
      <c r="B150" s="10" t="s">
        <v>279</v>
      </c>
      <c r="C150" s="10" t="s">
        <v>340</v>
      </c>
      <c r="D150" s="10" t="s">
        <v>349</v>
      </c>
      <c r="E150" s="11" t="s">
        <v>13</v>
      </c>
      <c r="F150" s="11"/>
      <c r="G150" s="11"/>
      <c r="H150" s="14"/>
      <c r="I150" s="14"/>
    </row>
    <row r="151" spans="1:9" ht="25.5" customHeight="1" x14ac:dyDescent="0.35">
      <c r="A151" s="9" t="s">
        <v>350</v>
      </c>
      <c r="B151" s="10" t="s">
        <v>279</v>
      </c>
      <c r="C151" s="10" t="s">
        <v>340</v>
      </c>
      <c r="D151" s="10" t="s">
        <v>351</v>
      </c>
      <c r="E151" s="11" t="s">
        <v>13</v>
      </c>
      <c r="F151" s="11"/>
      <c r="G151" s="11"/>
      <c r="H151" s="14"/>
      <c r="I151" s="14"/>
    </row>
    <row r="152" spans="1:9" ht="25.5" customHeight="1" x14ac:dyDescent="0.35">
      <c r="A152" s="9" t="s">
        <v>352</v>
      </c>
      <c r="B152" s="10" t="s">
        <v>279</v>
      </c>
      <c r="C152" s="10" t="s">
        <v>340</v>
      </c>
      <c r="D152" s="10" t="s">
        <v>353</v>
      </c>
      <c r="E152" s="11" t="s">
        <v>13</v>
      </c>
      <c r="F152" s="11"/>
      <c r="G152" s="11"/>
      <c r="H152" s="14"/>
      <c r="I152" s="14"/>
    </row>
    <row r="153" spans="1:9" ht="25.5" customHeight="1" x14ac:dyDescent="0.35">
      <c r="A153" s="9" t="s">
        <v>354</v>
      </c>
      <c r="B153" s="10" t="s">
        <v>279</v>
      </c>
      <c r="C153" s="10" t="s">
        <v>340</v>
      </c>
      <c r="D153" s="10" t="s">
        <v>355</v>
      </c>
      <c r="E153" s="11" t="s">
        <v>13</v>
      </c>
      <c r="F153" s="11"/>
      <c r="G153" s="11"/>
      <c r="H153" s="14"/>
      <c r="I153" s="14"/>
    </row>
    <row r="154" spans="1:9" ht="25.5" customHeight="1" x14ac:dyDescent="0.35">
      <c r="A154" s="9" t="s">
        <v>356</v>
      </c>
      <c r="B154" s="10" t="s">
        <v>279</v>
      </c>
      <c r="C154" s="10" t="s">
        <v>340</v>
      </c>
      <c r="D154" s="10" t="s">
        <v>357</v>
      </c>
      <c r="E154" s="11" t="s">
        <v>13</v>
      </c>
      <c r="F154" s="11"/>
      <c r="G154" s="11"/>
      <c r="H154" s="14"/>
      <c r="I154" s="14"/>
    </row>
    <row r="155" spans="1:9" ht="25.5" customHeight="1" x14ac:dyDescent="0.35">
      <c r="A155" s="9" t="s">
        <v>358</v>
      </c>
      <c r="B155" s="10" t="s">
        <v>279</v>
      </c>
      <c r="C155" s="10" t="s">
        <v>340</v>
      </c>
      <c r="D155" s="10" t="s">
        <v>359</v>
      </c>
      <c r="E155" s="11" t="s">
        <v>13</v>
      </c>
      <c r="F155" s="11"/>
      <c r="G155" s="11"/>
      <c r="H155" s="14"/>
      <c r="I155" s="14"/>
    </row>
    <row r="156" spans="1:9" ht="25.5" customHeight="1" x14ac:dyDescent="0.35">
      <c r="A156" s="9" t="s">
        <v>360</v>
      </c>
      <c r="B156" s="10" t="s">
        <v>279</v>
      </c>
      <c r="C156" s="10" t="s">
        <v>340</v>
      </c>
      <c r="D156" s="10" t="s">
        <v>361</v>
      </c>
      <c r="E156" s="11" t="s">
        <v>13</v>
      </c>
      <c r="F156" s="11"/>
      <c r="G156" s="11"/>
      <c r="H156" s="14"/>
      <c r="I156" s="14"/>
    </row>
    <row r="157" spans="1:9" ht="25.5" customHeight="1" x14ac:dyDescent="0.35">
      <c r="A157" s="9" t="s">
        <v>362</v>
      </c>
      <c r="B157" s="10" t="s">
        <v>279</v>
      </c>
      <c r="C157" s="10" t="s">
        <v>340</v>
      </c>
      <c r="D157" s="10" t="s">
        <v>363</v>
      </c>
      <c r="E157" s="11" t="s">
        <v>13</v>
      </c>
      <c r="F157" s="11"/>
      <c r="G157" s="11"/>
      <c r="H157" s="14"/>
      <c r="I157" s="14"/>
    </row>
    <row r="158" spans="1:9" ht="25.5" customHeight="1" x14ac:dyDescent="0.35">
      <c r="A158" s="9" t="s">
        <v>364</v>
      </c>
      <c r="B158" s="10" t="s">
        <v>279</v>
      </c>
      <c r="C158" s="10" t="s">
        <v>340</v>
      </c>
      <c r="D158" s="10" t="s">
        <v>365</v>
      </c>
      <c r="E158" s="11" t="s">
        <v>13</v>
      </c>
      <c r="F158" s="11"/>
      <c r="G158" s="11"/>
      <c r="H158" s="14"/>
      <c r="I158" s="14"/>
    </row>
    <row r="159" spans="1:9" ht="25.5" customHeight="1" x14ac:dyDescent="0.35">
      <c r="A159" s="9" t="s">
        <v>366</v>
      </c>
      <c r="B159" s="10" t="s">
        <v>279</v>
      </c>
      <c r="C159" s="10" t="s">
        <v>340</v>
      </c>
      <c r="D159" s="10" t="s">
        <v>367</v>
      </c>
      <c r="E159" s="11" t="s">
        <v>13</v>
      </c>
      <c r="F159" s="11"/>
      <c r="G159" s="11"/>
      <c r="H159" s="14"/>
      <c r="I159" s="14"/>
    </row>
    <row r="160" spans="1:9" ht="25.5" customHeight="1" x14ac:dyDescent="0.35">
      <c r="A160" s="9" t="s">
        <v>368</v>
      </c>
      <c r="B160" s="10" t="s">
        <v>279</v>
      </c>
      <c r="C160" s="10" t="s">
        <v>340</v>
      </c>
      <c r="D160" s="10" t="s">
        <v>369</v>
      </c>
      <c r="E160" s="11" t="s">
        <v>13</v>
      </c>
      <c r="F160" s="11"/>
      <c r="G160" s="11"/>
      <c r="H160" s="14"/>
      <c r="I160" s="14"/>
    </row>
    <row r="161" spans="1:9" ht="25.5" customHeight="1" x14ac:dyDescent="0.35">
      <c r="A161" s="9" t="s">
        <v>370</v>
      </c>
      <c r="B161" s="10" t="s">
        <v>279</v>
      </c>
      <c r="C161" s="10" t="s">
        <v>340</v>
      </c>
      <c r="D161" s="10" t="s">
        <v>371</v>
      </c>
      <c r="E161" s="11" t="s">
        <v>13</v>
      </c>
      <c r="F161" s="11"/>
      <c r="G161" s="11"/>
      <c r="H161" s="14"/>
      <c r="I161" s="14"/>
    </row>
    <row r="162" spans="1:9" ht="25.5" customHeight="1" x14ac:dyDescent="0.35">
      <c r="A162" s="9" t="s">
        <v>372</v>
      </c>
      <c r="B162" s="10" t="s">
        <v>279</v>
      </c>
      <c r="C162" s="10" t="s">
        <v>340</v>
      </c>
      <c r="D162" s="10" t="s">
        <v>373</v>
      </c>
      <c r="E162" s="11" t="s">
        <v>13</v>
      </c>
      <c r="F162" s="11"/>
      <c r="G162" s="11"/>
      <c r="H162" s="14"/>
      <c r="I162" s="14"/>
    </row>
    <row r="163" spans="1:9" ht="25.5" customHeight="1" x14ac:dyDescent="0.35">
      <c r="A163" s="9" t="s">
        <v>374</v>
      </c>
      <c r="B163" s="10" t="s">
        <v>279</v>
      </c>
      <c r="C163" s="10" t="s">
        <v>340</v>
      </c>
      <c r="D163" s="10" t="s">
        <v>375</v>
      </c>
      <c r="E163" s="11" t="s">
        <v>13</v>
      </c>
      <c r="F163" s="11"/>
      <c r="G163" s="11"/>
      <c r="H163" s="14"/>
      <c r="I163" s="14"/>
    </row>
    <row r="164" spans="1:9" ht="25.5" customHeight="1" x14ac:dyDescent="0.35">
      <c r="A164" s="9" t="s">
        <v>376</v>
      </c>
      <c r="B164" s="10" t="s">
        <v>279</v>
      </c>
      <c r="C164" s="10" t="s">
        <v>377</v>
      </c>
      <c r="D164" s="10" t="s">
        <v>378</v>
      </c>
      <c r="E164" s="11" t="s">
        <v>13</v>
      </c>
      <c r="F164" s="11"/>
      <c r="G164" s="11"/>
      <c r="H164" s="14"/>
      <c r="I164" s="14"/>
    </row>
    <row r="165" spans="1:9" ht="25.5" customHeight="1" x14ac:dyDescent="0.35">
      <c r="A165" s="9" t="s">
        <v>379</v>
      </c>
      <c r="B165" s="10" t="s">
        <v>279</v>
      </c>
      <c r="C165" s="10" t="s">
        <v>377</v>
      </c>
      <c r="D165" s="10" t="s">
        <v>380</v>
      </c>
      <c r="E165" s="11" t="s">
        <v>13</v>
      </c>
      <c r="F165" s="11"/>
      <c r="G165" s="11"/>
      <c r="H165" s="14"/>
      <c r="I165" s="14"/>
    </row>
    <row r="166" spans="1:9" ht="25.5" customHeight="1" x14ac:dyDescent="0.35">
      <c r="A166" s="9" t="s">
        <v>381</v>
      </c>
      <c r="B166" s="10" t="s">
        <v>279</v>
      </c>
      <c r="C166" s="10" t="s">
        <v>377</v>
      </c>
      <c r="D166" s="10" t="s">
        <v>382</v>
      </c>
      <c r="E166" s="11" t="s">
        <v>13</v>
      </c>
      <c r="F166" s="11"/>
      <c r="G166" s="11"/>
      <c r="H166" s="14"/>
      <c r="I166" s="14"/>
    </row>
    <row r="167" spans="1:9" ht="25.5" customHeight="1" x14ac:dyDescent="0.35">
      <c r="A167" s="9" t="s">
        <v>383</v>
      </c>
      <c r="B167" s="10" t="s">
        <v>279</v>
      </c>
      <c r="C167" s="10" t="s">
        <v>377</v>
      </c>
      <c r="D167" s="10" t="s">
        <v>384</v>
      </c>
      <c r="E167" s="11" t="s">
        <v>13</v>
      </c>
      <c r="F167" s="11"/>
      <c r="G167" s="11"/>
      <c r="H167" s="14"/>
      <c r="I167" s="14"/>
    </row>
    <row r="168" spans="1:9" ht="25.5" customHeight="1" x14ac:dyDescent="0.35">
      <c r="A168" s="9" t="s">
        <v>385</v>
      </c>
      <c r="B168" s="10" t="s">
        <v>279</v>
      </c>
      <c r="C168" s="10" t="s">
        <v>377</v>
      </c>
      <c r="D168" s="10" t="s">
        <v>386</v>
      </c>
      <c r="E168" s="11" t="s">
        <v>13</v>
      </c>
      <c r="F168" s="11"/>
      <c r="G168" s="11"/>
      <c r="H168" s="14"/>
      <c r="I168" s="14"/>
    </row>
    <row r="169" spans="1:9" ht="25.5" customHeight="1" x14ac:dyDescent="0.35">
      <c r="A169" s="9" t="s">
        <v>387</v>
      </c>
      <c r="B169" s="10" t="s">
        <v>279</v>
      </c>
      <c r="C169" s="10" t="s">
        <v>377</v>
      </c>
      <c r="D169" s="10" t="s">
        <v>388</v>
      </c>
      <c r="E169" s="11" t="s">
        <v>13</v>
      </c>
      <c r="F169" s="11"/>
      <c r="G169" s="11"/>
      <c r="H169" s="14"/>
      <c r="I169" s="14"/>
    </row>
    <row r="170" spans="1:9" ht="25.5" customHeight="1" x14ac:dyDescent="0.35">
      <c r="A170" s="9" t="s">
        <v>389</v>
      </c>
      <c r="B170" s="10" t="s">
        <v>279</v>
      </c>
      <c r="C170" s="10" t="s">
        <v>377</v>
      </c>
      <c r="D170" s="10" t="s">
        <v>390</v>
      </c>
      <c r="E170" s="11" t="s">
        <v>13</v>
      </c>
      <c r="F170" s="11"/>
      <c r="G170" s="11"/>
      <c r="H170" s="14"/>
      <c r="I170" s="14"/>
    </row>
    <row r="171" spans="1:9" ht="25.5" customHeight="1" x14ac:dyDescent="0.35">
      <c r="A171" s="9" t="s">
        <v>391</v>
      </c>
      <c r="B171" s="10" t="s">
        <v>279</v>
      </c>
      <c r="C171" s="10" t="s">
        <v>377</v>
      </c>
      <c r="D171" s="10" t="s">
        <v>392</v>
      </c>
      <c r="E171" s="11" t="s">
        <v>13</v>
      </c>
      <c r="F171" s="11"/>
      <c r="G171" s="11"/>
      <c r="H171" s="14"/>
      <c r="I171" s="14"/>
    </row>
    <row r="172" spans="1:9" ht="25.5" customHeight="1" x14ac:dyDescent="0.35">
      <c r="A172" s="9" t="s">
        <v>393</v>
      </c>
      <c r="B172" s="10" t="s">
        <v>279</v>
      </c>
      <c r="C172" s="10" t="s">
        <v>377</v>
      </c>
      <c r="D172" s="10" t="s">
        <v>394</v>
      </c>
      <c r="E172" s="11" t="s">
        <v>15</v>
      </c>
      <c r="F172" s="11"/>
      <c r="G172" s="11"/>
      <c r="H172" s="14"/>
      <c r="I172" s="14"/>
    </row>
    <row r="173" spans="1:9" ht="25.5" customHeight="1" x14ac:dyDescent="0.35">
      <c r="A173" s="9" t="s">
        <v>395</v>
      </c>
      <c r="B173" s="10" t="s">
        <v>279</v>
      </c>
      <c r="C173" s="10" t="s">
        <v>377</v>
      </c>
      <c r="D173" s="10" t="s">
        <v>396</v>
      </c>
      <c r="E173" s="11" t="s">
        <v>13</v>
      </c>
      <c r="F173" s="11"/>
      <c r="G173" s="11"/>
      <c r="H173" s="14"/>
      <c r="I173" s="14"/>
    </row>
    <row r="174" spans="1:9" ht="25.5" customHeight="1" x14ac:dyDescent="0.35">
      <c r="A174" s="9" t="s">
        <v>397</v>
      </c>
      <c r="B174" s="10" t="s">
        <v>279</v>
      </c>
      <c r="C174" s="10" t="s">
        <v>377</v>
      </c>
      <c r="D174" s="10" t="s">
        <v>398</v>
      </c>
      <c r="E174" s="11" t="s">
        <v>13</v>
      </c>
      <c r="F174" s="11"/>
      <c r="G174" s="11"/>
      <c r="H174" s="14"/>
      <c r="I174" s="14"/>
    </row>
    <row r="175" spans="1:9" ht="25.5" customHeight="1" x14ac:dyDescent="0.35">
      <c r="A175" s="9" t="s">
        <v>399</v>
      </c>
      <c r="B175" s="10" t="s">
        <v>279</v>
      </c>
      <c r="C175" s="10" t="s">
        <v>377</v>
      </c>
      <c r="D175" s="10" t="s">
        <v>400</v>
      </c>
      <c r="E175" s="11" t="s">
        <v>13</v>
      </c>
      <c r="F175" s="11"/>
      <c r="G175" s="11"/>
      <c r="H175" s="14"/>
      <c r="I175" s="14"/>
    </row>
    <row r="176" spans="1:9" ht="25.5" customHeight="1" x14ac:dyDescent="0.35">
      <c r="A176" s="9" t="s">
        <v>401</v>
      </c>
      <c r="B176" s="10" t="s">
        <v>279</v>
      </c>
      <c r="C176" s="10" t="s">
        <v>402</v>
      </c>
      <c r="D176" s="10" t="s">
        <v>403</v>
      </c>
      <c r="E176" s="11" t="s">
        <v>13</v>
      </c>
      <c r="F176" s="11"/>
      <c r="G176" s="11"/>
      <c r="H176" s="14"/>
      <c r="I176" s="14"/>
    </row>
    <row r="177" spans="1:9" ht="25.5" customHeight="1" x14ac:dyDescent="0.35">
      <c r="A177" s="9" t="s">
        <v>404</v>
      </c>
      <c r="B177" s="10" t="s">
        <v>279</v>
      </c>
      <c r="C177" s="10" t="s">
        <v>402</v>
      </c>
      <c r="D177" s="10" t="s">
        <v>405</v>
      </c>
      <c r="E177" s="11" t="s">
        <v>13</v>
      </c>
      <c r="F177" s="11"/>
      <c r="G177" s="11"/>
      <c r="H177" s="14"/>
      <c r="I177" s="14"/>
    </row>
    <row r="178" spans="1:9" ht="25.5" customHeight="1" x14ac:dyDescent="0.35">
      <c r="A178" s="9" t="s">
        <v>406</v>
      </c>
      <c r="B178" s="10" t="s">
        <v>279</v>
      </c>
      <c r="C178" s="10" t="s">
        <v>402</v>
      </c>
      <c r="D178" s="10" t="s">
        <v>407</v>
      </c>
      <c r="E178" s="11" t="s">
        <v>13</v>
      </c>
      <c r="F178" s="11"/>
      <c r="G178" s="11"/>
      <c r="H178" s="14"/>
      <c r="I178" s="14"/>
    </row>
    <row r="179" spans="1:9" ht="25.5" customHeight="1" x14ac:dyDescent="0.35">
      <c r="A179" s="9" t="s">
        <v>408</v>
      </c>
      <c r="B179" s="10" t="s">
        <v>279</v>
      </c>
      <c r="C179" s="10" t="s">
        <v>402</v>
      </c>
      <c r="D179" s="10" t="s">
        <v>409</v>
      </c>
      <c r="E179" s="11" t="s">
        <v>13</v>
      </c>
      <c r="F179" s="11"/>
      <c r="G179" s="11"/>
      <c r="H179" s="14"/>
      <c r="I179" s="14"/>
    </row>
    <row r="180" spans="1:9" ht="25.5" customHeight="1" x14ac:dyDescent="0.35">
      <c r="A180" s="9" t="s">
        <v>410</v>
      </c>
      <c r="B180" s="10" t="s">
        <v>279</v>
      </c>
      <c r="C180" s="10" t="s">
        <v>402</v>
      </c>
      <c r="D180" s="10" t="s">
        <v>411</v>
      </c>
      <c r="E180" s="11" t="s">
        <v>13</v>
      </c>
      <c r="F180" s="11"/>
      <c r="G180" s="11"/>
      <c r="H180" s="14"/>
      <c r="I180" s="14"/>
    </row>
    <row r="181" spans="1:9" ht="39" customHeight="1" x14ac:dyDescent="0.35">
      <c r="A181" s="9" t="s">
        <v>412</v>
      </c>
      <c r="B181" s="10" t="s">
        <v>279</v>
      </c>
      <c r="C181" s="10" t="s">
        <v>402</v>
      </c>
      <c r="D181" s="10" t="s">
        <v>413</v>
      </c>
      <c r="E181" s="11" t="s">
        <v>13</v>
      </c>
      <c r="F181" s="11"/>
      <c r="G181" s="11"/>
      <c r="H181" s="14"/>
      <c r="I181" s="14"/>
    </row>
    <row r="182" spans="1:9" ht="25.5" customHeight="1" x14ac:dyDescent="0.35">
      <c r="A182" s="9" t="s">
        <v>414</v>
      </c>
      <c r="B182" s="10" t="s">
        <v>279</v>
      </c>
      <c r="C182" s="10" t="s">
        <v>402</v>
      </c>
      <c r="D182" s="10" t="s">
        <v>415</v>
      </c>
      <c r="E182" s="11" t="s">
        <v>13</v>
      </c>
      <c r="F182" s="11"/>
      <c r="G182" s="11"/>
      <c r="H182" s="14"/>
      <c r="I182" s="14"/>
    </row>
    <row r="183" spans="1:9" ht="25.5" customHeight="1" x14ac:dyDescent="0.35">
      <c r="A183" s="9" t="s">
        <v>416</v>
      </c>
      <c r="B183" s="10" t="s">
        <v>279</v>
      </c>
      <c r="C183" s="10" t="s">
        <v>402</v>
      </c>
      <c r="D183" s="10" t="s">
        <v>417</v>
      </c>
      <c r="E183" s="11" t="s">
        <v>13</v>
      </c>
      <c r="F183" s="11"/>
      <c r="G183" s="11"/>
      <c r="H183" s="14"/>
      <c r="I183" s="14"/>
    </row>
    <row r="184" spans="1:9" ht="25.5" customHeight="1" x14ac:dyDescent="0.35">
      <c r="A184" s="9" t="s">
        <v>418</v>
      </c>
      <c r="B184" s="10" t="s">
        <v>279</v>
      </c>
      <c r="C184" s="10" t="s">
        <v>402</v>
      </c>
      <c r="D184" s="10" t="s">
        <v>419</v>
      </c>
      <c r="E184" s="11" t="s">
        <v>13</v>
      </c>
      <c r="F184" s="11"/>
      <c r="G184" s="11"/>
      <c r="H184" s="14"/>
      <c r="I184" s="14"/>
    </row>
    <row r="185" spans="1:9" ht="25.5" customHeight="1" x14ac:dyDescent="0.35">
      <c r="A185" s="9" t="s">
        <v>420</v>
      </c>
      <c r="B185" s="10" t="s">
        <v>279</v>
      </c>
      <c r="C185" s="10" t="s">
        <v>402</v>
      </c>
      <c r="D185" s="10" t="s">
        <v>421</v>
      </c>
      <c r="E185" s="11" t="s">
        <v>13</v>
      </c>
      <c r="F185" s="11"/>
      <c r="G185" s="11"/>
      <c r="H185" s="14"/>
      <c r="I185" s="14"/>
    </row>
    <row r="186" spans="1:9" ht="25.5" customHeight="1" x14ac:dyDescent="0.35">
      <c r="A186" s="9" t="s">
        <v>422</v>
      </c>
      <c r="B186" s="10" t="s">
        <v>279</v>
      </c>
      <c r="C186" s="10" t="s">
        <v>402</v>
      </c>
      <c r="D186" s="10" t="s">
        <v>423</v>
      </c>
      <c r="E186" s="11" t="s">
        <v>13</v>
      </c>
      <c r="F186" s="11"/>
      <c r="G186" s="11"/>
      <c r="H186" s="14"/>
      <c r="I186" s="14"/>
    </row>
    <row r="187" spans="1:9" ht="25.5" customHeight="1" x14ac:dyDescent="0.35">
      <c r="A187" s="9" t="s">
        <v>424</v>
      </c>
      <c r="B187" s="10" t="s">
        <v>279</v>
      </c>
      <c r="C187" s="10" t="s">
        <v>402</v>
      </c>
      <c r="D187" s="10" t="s">
        <v>425</v>
      </c>
      <c r="E187" s="11" t="s">
        <v>13</v>
      </c>
      <c r="F187" s="11"/>
      <c r="G187" s="11"/>
      <c r="H187" s="14"/>
      <c r="I187" s="14"/>
    </row>
    <row r="188" spans="1:9" ht="25.5" customHeight="1" x14ac:dyDescent="0.35">
      <c r="A188" s="9" t="s">
        <v>426</v>
      </c>
      <c r="B188" s="10" t="s">
        <v>279</v>
      </c>
      <c r="C188" s="10" t="s">
        <v>402</v>
      </c>
      <c r="D188" s="10" t="s">
        <v>427</v>
      </c>
      <c r="E188" s="11" t="s">
        <v>13</v>
      </c>
      <c r="F188" s="11"/>
      <c r="G188" s="11"/>
      <c r="H188" s="14"/>
      <c r="I188" s="14"/>
    </row>
    <row r="189" spans="1:9" ht="25.5" customHeight="1" x14ac:dyDescent="0.35">
      <c r="A189" s="9" t="s">
        <v>428</v>
      </c>
      <c r="B189" s="10" t="s">
        <v>279</v>
      </c>
      <c r="C189" s="10" t="s">
        <v>402</v>
      </c>
      <c r="D189" s="10" t="s">
        <v>429</v>
      </c>
      <c r="E189" s="11" t="s">
        <v>13</v>
      </c>
      <c r="F189" s="11"/>
      <c r="G189" s="11"/>
      <c r="H189" s="14"/>
      <c r="I189" s="14"/>
    </row>
    <row r="190" spans="1:9" ht="25.5" customHeight="1" x14ac:dyDescent="0.35">
      <c r="A190" s="9" t="s">
        <v>430</v>
      </c>
      <c r="B190" s="10" t="s">
        <v>279</v>
      </c>
      <c r="C190" s="10" t="s">
        <v>402</v>
      </c>
      <c r="D190" s="10" t="s">
        <v>431</v>
      </c>
      <c r="E190" s="11" t="s">
        <v>13</v>
      </c>
      <c r="F190" s="11"/>
      <c r="G190" s="11"/>
      <c r="H190" s="14"/>
      <c r="I190" s="14"/>
    </row>
    <row r="191" spans="1:9" ht="25.5" customHeight="1" x14ac:dyDescent="0.35">
      <c r="A191" s="9" t="s">
        <v>432</v>
      </c>
      <c r="B191" s="10" t="s">
        <v>279</v>
      </c>
      <c r="C191" s="10" t="s">
        <v>402</v>
      </c>
      <c r="D191" s="10" t="s">
        <v>433</v>
      </c>
      <c r="E191" s="11" t="s">
        <v>13</v>
      </c>
      <c r="F191" s="11"/>
      <c r="G191" s="11"/>
      <c r="H191" s="14"/>
      <c r="I191" s="14"/>
    </row>
    <row r="192" spans="1:9" ht="25.5" customHeight="1" x14ac:dyDescent="0.35">
      <c r="A192" s="9" t="s">
        <v>434</v>
      </c>
      <c r="B192" s="10" t="s">
        <v>279</v>
      </c>
      <c r="C192" s="10" t="s">
        <v>402</v>
      </c>
      <c r="D192" s="10" t="s">
        <v>435</v>
      </c>
      <c r="E192" s="11" t="s">
        <v>13</v>
      </c>
      <c r="F192" s="11"/>
      <c r="G192" s="11"/>
      <c r="H192" s="14"/>
      <c r="I192" s="14"/>
    </row>
    <row r="193" spans="1:9" ht="25.5" customHeight="1" x14ac:dyDescent="0.35">
      <c r="A193" s="9" t="s">
        <v>436</v>
      </c>
      <c r="B193" s="10" t="s">
        <v>279</v>
      </c>
      <c r="C193" s="10" t="s">
        <v>402</v>
      </c>
      <c r="D193" s="10" t="s">
        <v>437</v>
      </c>
      <c r="E193" s="11" t="s">
        <v>13</v>
      </c>
      <c r="F193" s="11"/>
      <c r="G193" s="11"/>
      <c r="H193" s="14"/>
      <c r="I193" s="14"/>
    </row>
    <row r="194" spans="1:9" ht="25.5" customHeight="1" x14ac:dyDescent="0.35">
      <c r="A194" s="9" t="s">
        <v>438</v>
      </c>
      <c r="B194" s="10" t="s">
        <v>279</v>
      </c>
      <c r="C194" s="10" t="s">
        <v>439</v>
      </c>
      <c r="D194" s="10" t="s">
        <v>440</v>
      </c>
      <c r="E194" s="11" t="s">
        <v>15</v>
      </c>
      <c r="F194" s="11"/>
      <c r="G194" s="11"/>
      <c r="H194" s="14"/>
      <c r="I194" s="14"/>
    </row>
    <row r="195" spans="1:9" ht="25.5" customHeight="1" x14ac:dyDescent="0.35">
      <c r="A195" s="9" t="s">
        <v>441</v>
      </c>
      <c r="B195" s="10" t="s">
        <v>279</v>
      </c>
      <c r="C195" s="10" t="s">
        <v>439</v>
      </c>
      <c r="D195" s="10" t="s">
        <v>442</v>
      </c>
      <c r="E195" s="11" t="s">
        <v>13</v>
      </c>
      <c r="F195" s="11"/>
      <c r="G195" s="11"/>
      <c r="H195" s="14"/>
      <c r="I195" s="14"/>
    </row>
    <row r="196" spans="1:9" ht="25.5" customHeight="1" x14ac:dyDescent="0.35">
      <c r="A196" s="9" t="s">
        <v>443</v>
      </c>
      <c r="B196" s="10" t="s">
        <v>279</v>
      </c>
      <c r="C196" s="10" t="s">
        <v>439</v>
      </c>
      <c r="D196" s="10" t="s">
        <v>444</v>
      </c>
      <c r="E196" s="11" t="s">
        <v>13</v>
      </c>
      <c r="F196" s="11"/>
      <c r="G196" s="11"/>
      <c r="H196" s="14"/>
      <c r="I196" s="14"/>
    </row>
    <row r="197" spans="1:9" ht="25.5" customHeight="1" x14ac:dyDescent="0.35">
      <c r="A197" s="9" t="s">
        <v>445</v>
      </c>
      <c r="B197" s="10" t="s">
        <v>279</v>
      </c>
      <c r="C197" s="10" t="s">
        <v>439</v>
      </c>
      <c r="D197" s="10" t="s">
        <v>446</v>
      </c>
      <c r="E197" s="11" t="s">
        <v>13</v>
      </c>
      <c r="F197" s="11"/>
      <c r="G197" s="11"/>
      <c r="H197" s="14"/>
      <c r="I197" s="14"/>
    </row>
    <row r="198" spans="1:9" ht="25.5" customHeight="1" x14ac:dyDescent="0.35">
      <c r="A198" s="9" t="s">
        <v>447</v>
      </c>
      <c r="B198" s="10" t="s">
        <v>279</v>
      </c>
      <c r="C198" s="10" t="s">
        <v>439</v>
      </c>
      <c r="D198" s="10" t="s">
        <v>448</v>
      </c>
      <c r="E198" s="11" t="s">
        <v>15</v>
      </c>
      <c r="F198" s="11"/>
      <c r="G198" s="11"/>
      <c r="H198" s="14"/>
      <c r="I198" s="14"/>
    </row>
    <row r="199" spans="1:9" ht="25.5" customHeight="1" x14ac:dyDescent="0.35">
      <c r="A199" s="9" t="s">
        <v>449</v>
      </c>
      <c r="B199" s="10" t="s">
        <v>279</v>
      </c>
      <c r="C199" s="10" t="s">
        <v>439</v>
      </c>
      <c r="D199" s="10" t="s">
        <v>450</v>
      </c>
      <c r="E199" s="11" t="s">
        <v>13</v>
      </c>
      <c r="F199" s="11"/>
      <c r="G199" s="11"/>
      <c r="H199" s="14"/>
      <c r="I199" s="14"/>
    </row>
    <row r="200" spans="1:9" ht="25.5" customHeight="1" x14ac:dyDescent="0.35">
      <c r="A200" s="9" t="s">
        <v>451</v>
      </c>
      <c r="B200" s="10" t="s">
        <v>279</v>
      </c>
      <c r="C200" s="10" t="s">
        <v>439</v>
      </c>
      <c r="D200" s="10" t="s">
        <v>452</v>
      </c>
      <c r="E200" s="11" t="s">
        <v>13</v>
      </c>
      <c r="F200" s="11"/>
      <c r="G200" s="11"/>
      <c r="H200" s="14"/>
      <c r="I200" s="14"/>
    </row>
    <row r="201" spans="1:9" ht="25.5" customHeight="1" x14ac:dyDescent="0.35">
      <c r="A201" s="9" t="s">
        <v>453</v>
      </c>
      <c r="B201" s="10" t="s">
        <v>279</v>
      </c>
      <c r="C201" s="10" t="s">
        <v>439</v>
      </c>
      <c r="D201" s="10" t="s">
        <v>454</v>
      </c>
      <c r="E201" s="11" t="s">
        <v>15</v>
      </c>
      <c r="F201" s="11"/>
      <c r="G201" s="11"/>
      <c r="H201" s="14"/>
      <c r="I201" s="14"/>
    </row>
    <row r="202" spans="1:9" ht="25.5" customHeight="1" x14ac:dyDescent="0.35">
      <c r="A202" s="9" t="s">
        <v>455</v>
      </c>
      <c r="B202" s="10" t="s">
        <v>279</v>
      </c>
      <c r="C202" s="10" t="s">
        <v>439</v>
      </c>
      <c r="D202" s="10" t="s">
        <v>456</v>
      </c>
      <c r="E202" s="11" t="s">
        <v>13</v>
      </c>
      <c r="F202" s="11"/>
      <c r="G202" s="11"/>
      <c r="H202" s="14"/>
      <c r="I202" s="14"/>
    </row>
    <row r="203" spans="1:9" ht="25.5" customHeight="1" x14ac:dyDescent="0.35">
      <c r="A203" s="9" t="s">
        <v>457</v>
      </c>
      <c r="B203" s="10" t="s">
        <v>279</v>
      </c>
      <c r="C203" s="10" t="s">
        <v>439</v>
      </c>
      <c r="D203" s="10" t="s">
        <v>458</v>
      </c>
      <c r="E203" s="11" t="s">
        <v>13</v>
      </c>
      <c r="F203" s="11"/>
      <c r="G203" s="11"/>
      <c r="H203" s="14"/>
      <c r="I203" s="14"/>
    </row>
    <row r="204" spans="1:9" ht="25.5" customHeight="1" x14ac:dyDescent="0.35">
      <c r="A204" s="9" t="s">
        <v>459</v>
      </c>
      <c r="B204" s="10" t="s">
        <v>279</v>
      </c>
      <c r="C204" s="10" t="s">
        <v>439</v>
      </c>
      <c r="D204" s="10" t="s">
        <v>460</v>
      </c>
      <c r="E204" s="11" t="s">
        <v>13</v>
      </c>
      <c r="F204" s="11"/>
      <c r="G204" s="11"/>
      <c r="H204" s="14"/>
      <c r="I204" s="14"/>
    </row>
    <row r="205" spans="1:9" ht="25.5" customHeight="1" x14ac:dyDescent="0.35">
      <c r="A205" s="9" t="s">
        <v>461</v>
      </c>
      <c r="B205" s="10" t="s">
        <v>279</v>
      </c>
      <c r="C205" s="10" t="s">
        <v>439</v>
      </c>
      <c r="D205" s="10" t="s">
        <v>462</v>
      </c>
      <c r="E205" s="11" t="s">
        <v>13</v>
      </c>
      <c r="F205" s="11"/>
      <c r="G205" s="11"/>
      <c r="H205" s="14"/>
      <c r="I205" s="14"/>
    </row>
    <row r="206" spans="1:9" ht="25.5" customHeight="1" x14ac:dyDescent="0.35">
      <c r="A206" s="9" t="s">
        <v>463</v>
      </c>
      <c r="B206" s="10" t="s">
        <v>279</v>
      </c>
      <c r="C206" s="10" t="s">
        <v>439</v>
      </c>
      <c r="D206" s="10" t="s">
        <v>464</v>
      </c>
      <c r="E206" s="11" t="s">
        <v>13</v>
      </c>
      <c r="F206" s="11"/>
      <c r="G206" s="11"/>
      <c r="H206" s="14"/>
      <c r="I206" s="14"/>
    </row>
    <row r="207" spans="1:9" ht="25.5" customHeight="1" x14ac:dyDescent="0.35">
      <c r="A207" s="9" t="s">
        <v>465</v>
      </c>
      <c r="B207" s="10" t="s">
        <v>279</v>
      </c>
      <c r="C207" s="10" t="s">
        <v>439</v>
      </c>
      <c r="D207" s="10" t="s">
        <v>466</v>
      </c>
      <c r="E207" s="11" t="s">
        <v>15</v>
      </c>
      <c r="F207" s="11"/>
      <c r="G207" s="11"/>
      <c r="H207" s="14"/>
      <c r="I207" s="14"/>
    </row>
    <row r="208" spans="1:9" ht="25.5" customHeight="1" x14ac:dyDescent="0.35">
      <c r="A208" s="9" t="s">
        <v>467</v>
      </c>
      <c r="B208" s="10" t="s">
        <v>279</v>
      </c>
      <c r="C208" s="10" t="s">
        <v>468</v>
      </c>
      <c r="D208" s="10" t="s">
        <v>469</v>
      </c>
      <c r="E208" s="11" t="s">
        <v>13</v>
      </c>
      <c r="F208" s="11"/>
      <c r="G208" s="11"/>
      <c r="H208" s="14"/>
      <c r="I208" s="14"/>
    </row>
    <row r="209" spans="1:9" ht="25.5" customHeight="1" x14ac:dyDescent="0.35">
      <c r="A209" s="9" t="s">
        <v>470</v>
      </c>
      <c r="B209" s="10" t="s">
        <v>279</v>
      </c>
      <c r="C209" s="10" t="s">
        <v>468</v>
      </c>
      <c r="D209" s="10" t="s">
        <v>471</v>
      </c>
      <c r="E209" s="11" t="s">
        <v>13</v>
      </c>
      <c r="F209" s="11"/>
      <c r="G209" s="11"/>
      <c r="H209" s="14"/>
      <c r="I209" s="14"/>
    </row>
    <row r="210" spans="1:9" ht="25.5" customHeight="1" x14ac:dyDescent="0.35">
      <c r="A210" s="9" t="s">
        <v>472</v>
      </c>
      <c r="B210" s="10" t="s">
        <v>279</v>
      </c>
      <c r="C210" s="10" t="s">
        <v>468</v>
      </c>
      <c r="D210" s="10" t="s">
        <v>473</v>
      </c>
      <c r="E210" s="11" t="s">
        <v>15</v>
      </c>
      <c r="F210" s="11"/>
      <c r="G210" s="11"/>
      <c r="H210" s="14"/>
      <c r="I210" s="14"/>
    </row>
    <row r="211" spans="1:9" ht="25.5" customHeight="1" x14ac:dyDescent="0.35">
      <c r="A211" s="9" t="s">
        <v>474</v>
      </c>
      <c r="B211" s="10" t="s">
        <v>279</v>
      </c>
      <c r="C211" s="10" t="s">
        <v>468</v>
      </c>
      <c r="D211" s="10" t="s">
        <v>475</v>
      </c>
      <c r="E211" s="11" t="s">
        <v>13</v>
      </c>
      <c r="F211" s="11"/>
      <c r="G211" s="11"/>
      <c r="H211" s="14"/>
      <c r="I211" s="14"/>
    </row>
    <row r="212" spans="1:9" ht="25.5" customHeight="1" x14ac:dyDescent="0.35">
      <c r="A212" s="9" t="s">
        <v>476</v>
      </c>
      <c r="B212" s="10" t="s">
        <v>279</v>
      </c>
      <c r="C212" s="10" t="s">
        <v>468</v>
      </c>
      <c r="D212" s="10" t="s">
        <v>477</v>
      </c>
      <c r="E212" s="11" t="s">
        <v>13</v>
      </c>
      <c r="F212" s="11"/>
      <c r="G212" s="11"/>
      <c r="H212" s="14"/>
      <c r="I212" s="14"/>
    </row>
    <row r="213" spans="1:9" ht="25.5" customHeight="1" x14ac:dyDescent="0.35">
      <c r="A213" s="9" t="s">
        <v>478</v>
      </c>
      <c r="B213" s="10" t="s">
        <v>279</v>
      </c>
      <c r="C213" s="10" t="s">
        <v>468</v>
      </c>
      <c r="D213" s="10" t="s">
        <v>479</v>
      </c>
      <c r="E213" s="11" t="s">
        <v>13</v>
      </c>
      <c r="F213" s="11"/>
      <c r="G213" s="11"/>
      <c r="H213" s="14"/>
      <c r="I213" s="14"/>
    </row>
    <row r="214" spans="1:9" ht="25.5" customHeight="1" x14ac:dyDescent="0.35">
      <c r="A214" s="9" t="s">
        <v>480</v>
      </c>
      <c r="B214" s="10" t="s">
        <v>279</v>
      </c>
      <c r="C214" s="10" t="s">
        <v>468</v>
      </c>
      <c r="D214" s="10" t="s">
        <v>481</v>
      </c>
      <c r="E214" s="11" t="s">
        <v>15</v>
      </c>
      <c r="F214" s="11"/>
      <c r="G214" s="11"/>
      <c r="H214" s="14"/>
      <c r="I214" s="14"/>
    </row>
    <row r="215" spans="1:9" ht="25.5" customHeight="1" x14ac:dyDescent="0.35">
      <c r="A215" s="9" t="s">
        <v>482</v>
      </c>
      <c r="B215" s="10" t="s">
        <v>279</v>
      </c>
      <c r="C215" s="10" t="s">
        <v>483</v>
      </c>
      <c r="D215" s="10" t="s">
        <v>484</v>
      </c>
      <c r="E215" s="11" t="s">
        <v>13</v>
      </c>
      <c r="F215" s="11"/>
      <c r="G215" s="11"/>
      <c r="H215" s="14"/>
      <c r="I215" s="14"/>
    </row>
    <row r="216" spans="1:9" ht="25.5" customHeight="1" x14ac:dyDescent="0.35">
      <c r="A216" s="9" t="s">
        <v>485</v>
      </c>
      <c r="B216" s="10" t="s">
        <v>279</v>
      </c>
      <c r="C216" s="10" t="s">
        <v>483</v>
      </c>
      <c r="D216" s="10" t="s">
        <v>486</v>
      </c>
      <c r="E216" s="11" t="s">
        <v>13</v>
      </c>
      <c r="F216" s="11"/>
      <c r="G216" s="11"/>
      <c r="H216" s="14"/>
      <c r="I216" s="14"/>
    </row>
    <row r="217" spans="1:9" ht="25.5" customHeight="1" x14ac:dyDescent="0.35">
      <c r="A217" s="9" t="s">
        <v>487</v>
      </c>
      <c r="B217" s="10" t="s">
        <v>279</v>
      </c>
      <c r="C217" s="10" t="s">
        <v>483</v>
      </c>
      <c r="D217" s="10" t="s">
        <v>488</v>
      </c>
      <c r="E217" s="11" t="s">
        <v>13</v>
      </c>
      <c r="F217" s="11"/>
      <c r="G217" s="11"/>
      <c r="H217" s="14"/>
      <c r="I217" s="14"/>
    </row>
    <row r="218" spans="1:9" ht="25.5" customHeight="1" x14ac:dyDescent="0.35">
      <c r="A218" s="9" t="s">
        <v>489</v>
      </c>
      <c r="B218" s="10" t="s">
        <v>279</v>
      </c>
      <c r="C218" s="10" t="s">
        <v>483</v>
      </c>
      <c r="D218" s="10" t="s">
        <v>490</v>
      </c>
      <c r="E218" s="11" t="s">
        <v>13</v>
      </c>
      <c r="F218" s="11"/>
      <c r="G218" s="11"/>
      <c r="H218" s="14"/>
      <c r="I218" s="14"/>
    </row>
    <row r="219" spans="1:9" ht="25.5" customHeight="1" x14ac:dyDescent="0.35">
      <c r="A219" s="9" t="s">
        <v>491</v>
      </c>
      <c r="B219" s="10" t="s">
        <v>279</v>
      </c>
      <c r="C219" s="10" t="s">
        <v>483</v>
      </c>
      <c r="D219" s="10" t="s">
        <v>492</v>
      </c>
      <c r="E219" s="11" t="s">
        <v>13</v>
      </c>
      <c r="F219" s="11"/>
      <c r="G219" s="11"/>
      <c r="H219" s="14"/>
      <c r="I219" s="14"/>
    </row>
    <row r="220" spans="1:9" ht="25.5" customHeight="1" x14ac:dyDescent="0.35">
      <c r="A220" s="9" t="s">
        <v>493</v>
      </c>
      <c r="B220" s="10" t="s">
        <v>279</v>
      </c>
      <c r="C220" s="10" t="s">
        <v>483</v>
      </c>
      <c r="D220" s="10" t="s">
        <v>494</v>
      </c>
      <c r="E220" s="11" t="s">
        <v>13</v>
      </c>
      <c r="F220" s="11"/>
      <c r="G220" s="11"/>
      <c r="H220" s="14"/>
      <c r="I220" s="14"/>
    </row>
    <row r="221" spans="1:9" ht="25.5" customHeight="1" x14ac:dyDescent="0.35">
      <c r="A221" s="9" t="s">
        <v>495</v>
      </c>
      <c r="B221" s="10" t="s">
        <v>279</v>
      </c>
      <c r="C221" s="10" t="s">
        <v>483</v>
      </c>
      <c r="D221" s="10" t="s">
        <v>496</v>
      </c>
      <c r="E221" s="11" t="s">
        <v>13</v>
      </c>
      <c r="F221" s="11"/>
      <c r="G221" s="11"/>
      <c r="H221" s="14"/>
      <c r="I221" s="14"/>
    </row>
    <row r="222" spans="1:9" ht="25.5" customHeight="1" x14ac:dyDescent="0.35">
      <c r="A222" s="9" t="s">
        <v>497</v>
      </c>
      <c r="B222" s="10" t="s">
        <v>279</v>
      </c>
      <c r="C222" s="10" t="s">
        <v>483</v>
      </c>
      <c r="D222" s="10" t="s">
        <v>498</v>
      </c>
      <c r="E222" s="11" t="s">
        <v>13</v>
      </c>
      <c r="F222" s="11"/>
      <c r="G222" s="11"/>
      <c r="H222" s="14"/>
      <c r="I222" s="14"/>
    </row>
    <row r="223" spans="1:9" ht="25.5" customHeight="1" x14ac:dyDescent="0.35">
      <c r="A223" s="9" t="s">
        <v>499</v>
      </c>
      <c r="B223" s="10" t="s">
        <v>279</v>
      </c>
      <c r="C223" s="10" t="s">
        <v>483</v>
      </c>
      <c r="D223" s="10" t="s">
        <v>500</v>
      </c>
      <c r="E223" s="11" t="s">
        <v>13</v>
      </c>
      <c r="F223" s="11"/>
      <c r="G223" s="11"/>
      <c r="H223" s="14"/>
      <c r="I223" s="14"/>
    </row>
    <row r="224" spans="1:9" ht="25.5" customHeight="1" x14ac:dyDescent="0.35">
      <c r="A224" s="9" t="s">
        <v>501</v>
      </c>
      <c r="B224" s="10" t="s">
        <v>279</v>
      </c>
      <c r="C224" s="10" t="s">
        <v>483</v>
      </c>
      <c r="D224" s="10" t="s">
        <v>502</v>
      </c>
      <c r="E224" s="11" t="s">
        <v>13</v>
      </c>
      <c r="F224" s="11"/>
      <c r="G224" s="11"/>
      <c r="H224" s="14"/>
      <c r="I224" s="14"/>
    </row>
    <row r="225" spans="1:9" ht="25.5" customHeight="1" x14ac:dyDescent="0.35">
      <c r="A225" s="9" t="s">
        <v>503</v>
      </c>
      <c r="B225" s="10" t="s">
        <v>279</v>
      </c>
      <c r="C225" s="10" t="s">
        <v>504</v>
      </c>
      <c r="D225" s="10" t="s">
        <v>505</v>
      </c>
      <c r="E225" s="11" t="s">
        <v>15</v>
      </c>
      <c r="F225" s="11"/>
      <c r="G225" s="11"/>
      <c r="H225" s="14"/>
      <c r="I225" s="14"/>
    </row>
    <row r="226" spans="1:9" ht="25.5" customHeight="1" x14ac:dyDescent="0.35">
      <c r="A226" s="9" t="s">
        <v>506</v>
      </c>
      <c r="B226" s="10" t="s">
        <v>279</v>
      </c>
      <c r="C226" s="10" t="s">
        <v>504</v>
      </c>
      <c r="D226" s="10" t="s">
        <v>507</v>
      </c>
      <c r="E226" s="11" t="s">
        <v>15</v>
      </c>
      <c r="F226" s="11"/>
      <c r="G226" s="11"/>
      <c r="H226" s="14"/>
      <c r="I226" s="14"/>
    </row>
    <row r="227" spans="1:9" ht="25.5" customHeight="1" x14ac:dyDescent="0.35">
      <c r="A227" s="9" t="s">
        <v>508</v>
      </c>
      <c r="B227" s="10" t="s">
        <v>279</v>
      </c>
      <c r="C227" s="10" t="s">
        <v>504</v>
      </c>
      <c r="D227" s="10" t="s">
        <v>509</v>
      </c>
      <c r="E227" s="11" t="s">
        <v>15</v>
      </c>
      <c r="F227" s="11"/>
      <c r="G227" s="11"/>
      <c r="H227" s="14"/>
      <c r="I227" s="14"/>
    </row>
    <row r="228" spans="1:9" ht="25.5" customHeight="1" x14ac:dyDescent="0.35">
      <c r="A228" s="9" t="s">
        <v>510</v>
      </c>
      <c r="B228" s="10" t="s">
        <v>279</v>
      </c>
      <c r="C228" s="10" t="s">
        <v>504</v>
      </c>
      <c r="D228" s="10" t="s">
        <v>511</v>
      </c>
      <c r="E228" s="11" t="s">
        <v>15</v>
      </c>
      <c r="F228" s="11"/>
      <c r="G228" s="11"/>
      <c r="H228" s="14"/>
      <c r="I228" s="14"/>
    </row>
    <row r="229" spans="1:9" ht="25.5" customHeight="1" x14ac:dyDescent="0.35">
      <c r="A229" s="9" t="s">
        <v>512</v>
      </c>
      <c r="B229" s="10" t="s">
        <v>279</v>
      </c>
      <c r="C229" s="10" t="s">
        <v>504</v>
      </c>
      <c r="D229" s="10" t="s">
        <v>513</v>
      </c>
      <c r="E229" s="11" t="s">
        <v>15</v>
      </c>
      <c r="F229" s="11"/>
      <c r="G229" s="11"/>
      <c r="H229" s="14"/>
      <c r="I229" s="14"/>
    </row>
    <row r="230" spans="1:9" ht="25.5" customHeight="1" x14ac:dyDescent="0.35">
      <c r="A230" s="9" t="s">
        <v>514</v>
      </c>
      <c r="B230" s="10" t="s">
        <v>279</v>
      </c>
      <c r="C230" s="10" t="s">
        <v>504</v>
      </c>
      <c r="D230" s="10" t="s">
        <v>515</v>
      </c>
      <c r="E230" s="11" t="s">
        <v>15</v>
      </c>
      <c r="F230" s="11"/>
      <c r="G230" s="11"/>
      <c r="H230" s="14"/>
      <c r="I230" s="14"/>
    </row>
    <row r="231" spans="1:9" ht="25.5" customHeight="1" x14ac:dyDescent="0.35">
      <c r="A231" s="9" t="s">
        <v>516</v>
      </c>
      <c r="B231" s="10" t="s">
        <v>279</v>
      </c>
      <c r="C231" s="10" t="s">
        <v>504</v>
      </c>
      <c r="D231" s="10" t="s">
        <v>517</v>
      </c>
      <c r="E231" s="11" t="s">
        <v>15</v>
      </c>
      <c r="F231" s="11"/>
      <c r="G231" s="11"/>
      <c r="H231" s="14"/>
      <c r="I231" s="14"/>
    </row>
    <row r="232" spans="1:9" ht="25.5" customHeight="1" x14ac:dyDescent="0.35">
      <c r="A232" s="9" t="s">
        <v>518</v>
      </c>
      <c r="B232" s="10" t="s">
        <v>279</v>
      </c>
      <c r="C232" s="10" t="s">
        <v>504</v>
      </c>
      <c r="D232" s="10" t="s">
        <v>519</v>
      </c>
      <c r="E232" s="11" t="s">
        <v>15</v>
      </c>
      <c r="F232" s="11"/>
      <c r="G232" s="11"/>
      <c r="H232" s="14"/>
      <c r="I232" s="14"/>
    </row>
    <row r="233" spans="1:9" ht="25.5" customHeight="1" x14ac:dyDescent="0.35">
      <c r="A233" s="9" t="s">
        <v>520</v>
      </c>
      <c r="B233" s="10" t="s">
        <v>279</v>
      </c>
      <c r="C233" s="10" t="s">
        <v>504</v>
      </c>
      <c r="D233" s="10" t="s">
        <v>521</v>
      </c>
      <c r="E233" s="11" t="s">
        <v>15</v>
      </c>
      <c r="F233" s="11"/>
      <c r="G233" s="11"/>
      <c r="H233" s="14"/>
      <c r="I233" s="14"/>
    </row>
    <row r="234" spans="1:9" ht="25.5" customHeight="1" x14ac:dyDescent="0.35">
      <c r="A234" s="9" t="s">
        <v>522</v>
      </c>
      <c r="B234" s="10" t="s">
        <v>279</v>
      </c>
      <c r="C234" s="10" t="s">
        <v>504</v>
      </c>
      <c r="D234" s="10" t="s">
        <v>523</v>
      </c>
      <c r="E234" s="11" t="s">
        <v>15</v>
      </c>
      <c r="F234" s="11"/>
      <c r="G234" s="11"/>
      <c r="H234" s="14"/>
      <c r="I234" s="14"/>
    </row>
    <row r="235" spans="1:9" ht="25.5" customHeight="1" x14ac:dyDescent="0.35">
      <c r="A235" s="9" t="s">
        <v>524</v>
      </c>
      <c r="B235" s="10" t="s">
        <v>279</v>
      </c>
      <c r="C235" s="10" t="s">
        <v>525</v>
      </c>
      <c r="D235" s="10" t="s">
        <v>526</v>
      </c>
      <c r="E235" s="11" t="s">
        <v>13</v>
      </c>
      <c r="F235" s="11"/>
      <c r="G235" s="11"/>
      <c r="H235" s="14"/>
      <c r="I235" s="14"/>
    </row>
    <row r="236" spans="1:9" ht="25.5" customHeight="1" x14ac:dyDescent="0.35">
      <c r="A236" s="9" t="s">
        <v>527</v>
      </c>
      <c r="B236" s="10" t="s">
        <v>279</v>
      </c>
      <c r="C236" s="10" t="s">
        <v>525</v>
      </c>
      <c r="D236" s="10" t="s">
        <v>528</v>
      </c>
      <c r="E236" s="11" t="s">
        <v>13</v>
      </c>
      <c r="F236" s="11"/>
      <c r="G236" s="11"/>
      <c r="H236" s="14"/>
      <c r="I236" s="14"/>
    </row>
    <row r="237" spans="1:9" ht="25.5" customHeight="1" x14ac:dyDescent="0.35">
      <c r="A237" s="9" t="s">
        <v>529</v>
      </c>
      <c r="B237" s="10" t="s">
        <v>279</v>
      </c>
      <c r="C237" s="10" t="s">
        <v>525</v>
      </c>
      <c r="D237" s="10" t="s">
        <v>530</v>
      </c>
      <c r="E237" s="11" t="s">
        <v>13</v>
      </c>
      <c r="F237" s="11"/>
      <c r="G237" s="11"/>
      <c r="H237" s="14"/>
      <c r="I237" s="14"/>
    </row>
    <row r="238" spans="1:9" ht="25.5" customHeight="1" x14ac:dyDescent="0.35">
      <c r="A238" s="9" t="s">
        <v>531</v>
      </c>
      <c r="B238" s="10" t="s">
        <v>279</v>
      </c>
      <c r="C238" s="10" t="s">
        <v>525</v>
      </c>
      <c r="D238" s="10" t="s">
        <v>532</v>
      </c>
      <c r="E238" s="11" t="s">
        <v>13</v>
      </c>
      <c r="F238" s="11"/>
      <c r="G238" s="11"/>
      <c r="H238" s="14"/>
      <c r="I238" s="14"/>
    </row>
    <row r="239" spans="1:9" ht="25.5" customHeight="1" x14ac:dyDescent="0.35">
      <c r="A239" s="9" t="s">
        <v>533</v>
      </c>
      <c r="B239" s="10" t="s">
        <v>279</v>
      </c>
      <c r="C239" s="10" t="s">
        <v>525</v>
      </c>
      <c r="D239" s="10" t="s">
        <v>534</v>
      </c>
      <c r="E239" s="11" t="s">
        <v>13</v>
      </c>
      <c r="F239" s="11"/>
      <c r="G239" s="11"/>
      <c r="H239" s="14"/>
      <c r="I239" s="14"/>
    </row>
    <row r="240" spans="1:9" ht="25.5" customHeight="1" x14ac:dyDescent="0.35">
      <c r="A240" s="9" t="s">
        <v>535</v>
      </c>
      <c r="B240" s="10" t="s">
        <v>279</v>
      </c>
      <c r="C240" s="10" t="s">
        <v>525</v>
      </c>
      <c r="D240" s="10" t="s">
        <v>536</v>
      </c>
      <c r="E240" s="11" t="s">
        <v>13</v>
      </c>
      <c r="F240" s="11"/>
      <c r="G240" s="11"/>
      <c r="H240" s="14"/>
      <c r="I240" s="14"/>
    </row>
    <row r="241" spans="1:9" ht="25.5" customHeight="1" x14ac:dyDescent="0.35">
      <c r="A241" s="9" t="s">
        <v>537</v>
      </c>
      <c r="B241" s="10" t="s">
        <v>279</v>
      </c>
      <c r="C241" s="10" t="s">
        <v>525</v>
      </c>
      <c r="D241" s="10" t="s">
        <v>538</v>
      </c>
      <c r="E241" s="11" t="s">
        <v>13</v>
      </c>
      <c r="F241" s="11"/>
      <c r="G241" s="11"/>
      <c r="H241" s="14"/>
      <c r="I241" s="14"/>
    </row>
    <row r="242" spans="1:9" ht="25.5" customHeight="1" x14ac:dyDescent="0.35">
      <c r="A242" s="9" t="s">
        <v>539</v>
      </c>
      <c r="B242" s="10" t="s">
        <v>279</v>
      </c>
      <c r="C242" s="10" t="s">
        <v>540</v>
      </c>
      <c r="D242" s="10" t="s">
        <v>541</v>
      </c>
      <c r="E242" s="11" t="s">
        <v>11</v>
      </c>
      <c r="F242" s="11"/>
      <c r="G242" s="11"/>
      <c r="H242" s="14"/>
      <c r="I242" s="14"/>
    </row>
    <row r="243" spans="1:9" ht="25.5" customHeight="1" x14ac:dyDescent="0.35">
      <c r="A243" s="9" t="s">
        <v>542</v>
      </c>
      <c r="B243" s="10" t="s">
        <v>279</v>
      </c>
      <c r="C243" s="10" t="s">
        <v>540</v>
      </c>
      <c r="D243" s="10" t="s">
        <v>543</v>
      </c>
      <c r="E243" s="11" t="s">
        <v>13</v>
      </c>
      <c r="F243" s="11"/>
      <c r="G243" s="11"/>
      <c r="H243" s="14"/>
      <c r="I243" s="14"/>
    </row>
    <row r="244" spans="1:9" ht="25.5" customHeight="1" x14ac:dyDescent="0.35">
      <c r="A244" s="9" t="s">
        <v>544</v>
      </c>
      <c r="B244" s="10" t="s">
        <v>279</v>
      </c>
      <c r="C244" s="10" t="s">
        <v>540</v>
      </c>
      <c r="D244" s="10" t="s">
        <v>545</v>
      </c>
      <c r="E244" s="11" t="s">
        <v>13</v>
      </c>
      <c r="F244" s="11"/>
      <c r="G244" s="11"/>
      <c r="H244" s="14"/>
      <c r="I244" s="14"/>
    </row>
    <row r="245" spans="1:9" ht="25.5" customHeight="1" x14ac:dyDescent="0.35">
      <c r="A245" s="9" t="s">
        <v>546</v>
      </c>
      <c r="B245" s="10" t="s">
        <v>279</v>
      </c>
      <c r="C245" s="10" t="s">
        <v>540</v>
      </c>
      <c r="D245" s="10" t="s">
        <v>547</v>
      </c>
      <c r="E245" s="11" t="s">
        <v>11</v>
      </c>
      <c r="F245" s="11"/>
      <c r="G245" s="11"/>
      <c r="H245" s="14"/>
      <c r="I245" s="14"/>
    </row>
    <row r="246" spans="1:9" ht="25.5" customHeight="1" x14ac:dyDescent="0.35">
      <c r="A246" s="9" t="s">
        <v>548</v>
      </c>
      <c r="B246" s="10" t="s">
        <v>279</v>
      </c>
      <c r="C246" s="10" t="s">
        <v>540</v>
      </c>
      <c r="D246" s="10" t="s">
        <v>549</v>
      </c>
      <c r="E246" s="11" t="s">
        <v>13</v>
      </c>
      <c r="F246" s="11"/>
      <c r="G246" s="11"/>
      <c r="H246" s="14"/>
      <c r="I246" s="14"/>
    </row>
    <row r="247" spans="1:9" ht="25.5" customHeight="1" x14ac:dyDescent="0.35">
      <c r="A247" s="9" t="s">
        <v>550</v>
      </c>
      <c r="B247" s="10" t="s">
        <v>279</v>
      </c>
      <c r="C247" s="10" t="s">
        <v>540</v>
      </c>
      <c r="D247" s="10" t="s">
        <v>551</v>
      </c>
      <c r="E247" s="11" t="s">
        <v>11</v>
      </c>
      <c r="F247" s="11"/>
      <c r="G247" s="11"/>
      <c r="H247" s="14"/>
      <c r="I247" s="14"/>
    </row>
    <row r="248" spans="1:9" ht="25.5" customHeight="1" x14ac:dyDescent="0.35">
      <c r="A248" s="9" t="s">
        <v>552</v>
      </c>
      <c r="B248" s="10" t="s">
        <v>279</v>
      </c>
      <c r="C248" s="10" t="s">
        <v>540</v>
      </c>
      <c r="D248" s="10" t="s">
        <v>553</v>
      </c>
      <c r="E248" s="11" t="s">
        <v>11</v>
      </c>
      <c r="F248" s="11"/>
      <c r="G248" s="11"/>
      <c r="H248" s="14"/>
      <c r="I248" s="14"/>
    </row>
    <row r="249" spans="1:9" ht="25.5" customHeight="1" x14ac:dyDescent="0.35">
      <c r="A249" s="9" t="s">
        <v>554</v>
      </c>
      <c r="B249" s="10" t="s">
        <v>279</v>
      </c>
      <c r="C249" s="10" t="s">
        <v>540</v>
      </c>
      <c r="D249" s="10" t="s">
        <v>555</v>
      </c>
      <c r="E249" s="11" t="s">
        <v>11</v>
      </c>
      <c r="F249" s="11"/>
      <c r="G249" s="11"/>
      <c r="H249" s="14"/>
      <c r="I249" s="14"/>
    </row>
    <row r="250" spans="1:9" ht="25.5" customHeight="1" x14ac:dyDescent="0.35">
      <c r="A250" s="9" t="s">
        <v>556</v>
      </c>
      <c r="B250" s="10" t="s">
        <v>557</v>
      </c>
      <c r="C250" s="10" t="s">
        <v>558</v>
      </c>
      <c r="D250" s="10" t="s">
        <v>559</v>
      </c>
      <c r="E250" s="11" t="s">
        <v>11</v>
      </c>
      <c r="F250" s="11"/>
      <c r="G250" s="11"/>
      <c r="H250" s="14"/>
      <c r="I250" s="14"/>
    </row>
    <row r="251" spans="1:9" ht="25.5" customHeight="1" x14ac:dyDescent="0.35">
      <c r="A251" s="9" t="s">
        <v>560</v>
      </c>
      <c r="B251" s="10" t="s">
        <v>557</v>
      </c>
      <c r="C251" s="10" t="s">
        <v>558</v>
      </c>
      <c r="D251" s="10" t="s">
        <v>561</v>
      </c>
      <c r="E251" s="11" t="s">
        <v>11</v>
      </c>
      <c r="F251" s="11"/>
      <c r="G251" s="11"/>
      <c r="H251" s="14"/>
      <c r="I251" s="14"/>
    </row>
    <row r="252" spans="1:9" ht="25.5" customHeight="1" x14ac:dyDescent="0.35">
      <c r="A252" s="9" t="s">
        <v>562</v>
      </c>
      <c r="B252" s="10" t="s">
        <v>557</v>
      </c>
      <c r="C252" s="10" t="s">
        <v>558</v>
      </c>
      <c r="D252" s="10" t="s">
        <v>563</v>
      </c>
      <c r="E252" s="11" t="s">
        <v>11</v>
      </c>
      <c r="F252" s="11"/>
      <c r="G252" s="11"/>
      <c r="H252" s="14"/>
      <c r="I252" s="14"/>
    </row>
    <row r="253" spans="1:9" ht="25.5" customHeight="1" x14ac:dyDescent="0.35">
      <c r="A253" s="9" t="s">
        <v>564</v>
      </c>
      <c r="B253" s="10" t="s">
        <v>557</v>
      </c>
      <c r="C253" s="10" t="s">
        <v>558</v>
      </c>
      <c r="D253" s="10" t="s">
        <v>565</v>
      </c>
      <c r="E253" s="11" t="s">
        <v>11</v>
      </c>
      <c r="F253" s="11"/>
      <c r="G253" s="11"/>
      <c r="H253" s="14"/>
      <c r="I253" s="14"/>
    </row>
    <row r="254" spans="1:9" ht="25.5" customHeight="1" x14ac:dyDescent="0.35">
      <c r="A254" s="9" t="s">
        <v>566</v>
      </c>
      <c r="B254" s="10" t="s">
        <v>557</v>
      </c>
      <c r="C254" s="10" t="s">
        <v>558</v>
      </c>
      <c r="D254" s="10" t="s">
        <v>567</v>
      </c>
      <c r="E254" s="11" t="s">
        <v>11</v>
      </c>
      <c r="F254" s="11"/>
      <c r="G254" s="11"/>
      <c r="H254" s="14"/>
      <c r="I254" s="14"/>
    </row>
    <row r="255" spans="1:9" ht="25.5" customHeight="1" x14ac:dyDescent="0.35">
      <c r="A255" s="9" t="s">
        <v>568</v>
      </c>
      <c r="B255" s="10" t="s">
        <v>557</v>
      </c>
      <c r="C255" s="10" t="s">
        <v>558</v>
      </c>
      <c r="D255" s="10" t="s">
        <v>569</v>
      </c>
      <c r="E255" s="11" t="s">
        <v>11</v>
      </c>
      <c r="F255" s="11"/>
      <c r="G255" s="11"/>
      <c r="H255" s="14"/>
      <c r="I255" s="14"/>
    </row>
    <row r="256" spans="1:9" ht="25.5" customHeight="1" x14ac:dyDescent="0.35">
      <c r="A256" s="9" t="s">
        <v>570</v>
      </c>
      <c r="B256" s="10" t="s">
        <v>557</v>
      </c>
      <c r="C256" s="10" t="s">
        <v>558</v>
      </c>
      <c r="D256" s="10" t="s">
        <v>571</v>
      </c>
      <c r="E256" s="11" t="s">
        <v>11</v>
      </c>
      <c r="F256" s="11"/>
      <c r="G256" s="11"/>
      <c r="H256" s="14"/>
      <c r="I256" s="14"/>
    </row>
    <row r="257" spans="1:9" ht="25.5" customHeight="1" x14ac:dyDescent="0.35">
      <c r="A257" s="9" t="s">
        <v>572</v>
      </c>
      <c r="B257" s="10" t="s">
        <v>557</v>
      </c>
      <c r="C257" s="10" t="s">
        <v>558</v>
      </c>
      <c r="D257" s="10" t="s">
        <v>573</v>
      </c>
      <c r="E257" s="11" t="s">
        <v>11</v>
      </c>
      <c r="F257" s="11"/>
      <c r="G257" s="11"/>
      <c r="H257" s="14"/>
      <c r="I257" s="14"/>
    </row>
    <row r="258" spans="1:9" ht="25.5" customHeight="1" x14ac:dyDescent="0.35">
      <c r="A258" s="9" t="s">
        <v>574</v>
      </c>
      <c r="B258" s="10" t="s">
        <v>557</v>
      </c>
      <c r="C258" s="10" t="s">
        <v>558</v>
      </c>
      <c r="D258" s="10" t="s">
        <v>575</v>
      </c>
      <c r="E258" s="11" t="s">
        <v>11</v>
      </c>
      <c r="F258" s="11"/>
      <c r="G258" s="11"/>
      <c r="H258" s="14"/>
      <c r="I258" s="14"/>
    </row>
    <row r="259" spans="1:9" ht="25.5" customHeight="1" x14ac:dyDescent="0.35">
      <c r="A259" s="9" t="s">
        <v>576</v>
      </c>
      <c r="B259" s="10" t="s">
        <v>557</v>
      </c>
      <c r="C259" s="10" t="s">
        <v>558</v>
      </c>
      <c r="D259" s="10" t="s">
        <v>577</v>
      </c>
      <c r="E259" s="11" t="s">
        <v>11</v>
      </c>
      <c r="F259" s="11"/>
      <c r="G259" s="11"/>
      <c r="H259" s="14"/>
      <c r="I259" s="14"/>
    </row>
    <row r="260" spans="1:9" ht="25.5" customHeight="1" x14ac:dyDescent="0.35">
      <c r="A260" s="9" t="s">
        <v>578</v>
      </c>
      <c r="B260" s="10" t="s">
        <v>557</v>
      </c>
      <c r="C260" s="10" t="s">
        <v>558</v>
      </c>
      <c r="D260" s="10" t="s">
        <v>579</v>
      </c>
      <c r="E260" s="11" t="s">
        <v>11</v>
      </c>
      <c r="F260" s="11"/>
      <c r="G260" s="11"/>
      <c r="H260" s="14"/>
      <c r="I260" s="14"/>
    </row>
    <row r="261" spans="1:9" ht="25.5" customHeight="1" x14ac:dyDescent="0.35">
      <c r="A261" s="9" t="s">
        <v>580</v>
      </c>
      <c r="B261" s="10" t="s">
        <v>557</v>
      </c>
      <c r="C261" s="10" t="s">
        <v>558</v>
      </c>
      <c r="D261" s="10" t="s">
        <v>581</v>
      </c>
      <c r="E261" s="11" t="s">
        <v>11</v>
      </c>
      <c r="F261" s="11"/>
      <c r="G261" s="11"/>
      <c r="H261" s="14"/>
      <c r="I261" s="14"/>
    </row>
    <row r="262" spans="1:9" ht="25.5" customHeight="1" x14ac:dyDescent="0.35">
      <c r="A262" s="9" t="s">
        <v>582</v>
      </c>
      <c r="B262" s="10" t="s">
        <v>557</v>
      </c>
      <c r="C262" s="10" t="s">
        <v>558</v>
      </c>
      <c r="D262" s="10" t="s">
        <v>583</v>
      </c>
      <c r="E262" s="11" t="s">
        <v>11</v>
      </c>
      <c r="F262" s="11"/>
      <c r="G262" s="11"/>
      <c r="H262" s="14"/>
      <c r="I262" s="14"/>
    </row>
    <row r="263" spans="1:9" ht="25.5" customHeight="1" x14ac:dyDescent="0.35">
      <c r="A263" s="9" t="s">
        <v>584</v>
      </c>
      <c r="B263" s="10" t="s">
        <v>557</v>
      </c>
      <c r="C263" s="10" t="s">
        <v>558</v>
      </c>
      <c r="D263" s="10" t="s">
        <v>585</v>
      </c>
      <c r="E263" s="11" t="s">
        <v>11</v>
      </c>
      <c r="F263" s="11"/>
      <c r="G263" s="11"/>
      <c r="H263" s="14"/>
      <c r="I263" s="14"/>
    </row>
    <row r="264" spans="1:9" ht="25.5" customHeight="1" x14ac:dyDescent="0.35">
      <c r="A264" s="9" t="s">
        <v>586</v>
      </c>
      <c r="B264" s="10" t="s">
        <v>557</v>
      </c>
      <c r="C264" s="10" t="s">
        <v>558</v>
      </c>
      <c r="D264" s="10" t="s">
        <v>587</v>
      </c>
      <c r="E264" s="11" t="s">
        <v>11</v>
      </c>
      <c r="F264" s="11"/>
      <c r="G264" s="11"/>
      <c r="H264" s="14"/>
      <c r="I264" s="14"/>
    </row>
    <row r="265" spans="1:9" ht="25.5" customHeight="1" x14ac:dyDescent="0.35">
      <c r="A265" s="9" t="s">
        <v>588</v>
      </c>
      <c r="B265" s="10" t="s">
        <v>557</v>
      </c>
      <c r="C265" s="10" t="s">
        <v>589</v>
      </c>
      <c r="D265" s="10" t="s">
        <v>590</v>
      </c>
      <c r="E265" s="11" t="s">
        <v>11</v>
      </c>
      <c r="F265" s="11"/>
      <c r="G265" s="11"/>
      <c r="H265" s="14"/>
      <c r="I265" s="14"/>
    </row>
    <row r="266" spans="1:9" ht="25.5" customHeight="1" x14ac:dyDescent="0.35">
      <c r="A266" s="9" t="s">
        <v>591</v>
      </c>
      <c r="B266" s="10" t="s">
        <v>557</v>
      </c>
      <c r="C266" s="10" t="s">
        <v>589</v>
      </c>
      <c r="D266" s="10" t="s">
        <v>592</v>
      </c>
      <c r="E266" s="11" t="s">
        <v>11</v>
      </c>
      <c r="F266" s="11"/>
      <c r="G266" s="11"/>
      <c r="H266" s="14"/>
      <c r="I266" s="14"/>
    </row>
    <row r="267" spans="1:9" ht="25.5" customHeight="1" x14ac:dyDescent="0.35">
      <c r="A267" s="9" t="s">
        <v>593</v>
      </c>
      <c r="B267" s="10" t="s">
        <v>557</v>
      </c>
      <c r="C267" s="10" t="s">
        <v>589</v>
      </c>
      <c r="D267" s="10" t="s">
        <v>594</v>
      </c>
      <c r="E267" s="11" t="s">
        <v>11</v>
      </c>
      <c r="F267" s="11"/>
      <c r="G267" s="11"/>
      <c r="H267" s="14"/>
      <c r="I267" s="14"/>
    </row>
    <row r="268" spans="1:9" ht="25.5" customHeight="1" x14ac:dyDescent="0.35">
      <c r="A268" s="9" t="s">
        <v>595</v>
      </c>
      <c r="B268" s="10" t="s">
        <v>557</v>
      </c>
      <c r="C268" s="10" t="s">
        <v>589</v>
      </c>
      <c r="D268" s="10" t="s">
        <v>596</v>
      </c>
      <c r="E268" s="11" t="s">
        <v>13</v>
      </c>
      <c r="F268" s="11"/>
      <c r="G268" s="11"/>
      <c r="H268" s="14"/>
      <c r="I268" s="14"/>
    </row>
    <row r="269" spans="1:9" ht="25.5" customHeight="1" x14ac:dyDescent="0.35">
      <c r="A269" s="9" t="s">
        <v>597</v>
      </c>
      <c r="B269" s="10" t="s">
        <v>557</v>
      </c>
      <c r="C269" s="10" t="s">
        <v>589</v>
      </c>
      <c r="D269" s="10" t="s">
        <v>598</v>
      </c>
      <c r="E269" s="11" t="s">
        <v>11</v>
      </c>
      <c r="F269" s="11"/>
      <c r="G269" s="11"/>
      <c r="H269" s="14"/>
      <c r="I269" s="14"/>
    </row>
    <row r="270" spans="1:9" ht="25.5" customHeight="1" x14ac:dyDescent="0.35">
      <c r="A270" s="9" t="s">
        <v>599</v>
      </c>
      <c r="B270" s="10" t="s">
        <v>557</v>
      </c>
      <c r="C270" s="10" t="s">
        <v>589</v>
      </c>
      <c r="D270" s="10" t="s">
        <v>600</v>
      </c>
      <c r="E270" s="11" t="s">
        <v>11</v>
      </c>
      <c r="F270" s="11"/>
      <c r="G270" s="11"/>
      <c r="H270" s="14"/>
      <c r="I270" s="14"/>
    </row>
    <row r="271" spans="1:9" ht="25.5" customHeight="1" x14ac:dyDescent="0.35">
      <c r="A271" s="9" t="s">
        <v>601</v>
      </c>
      <c r="B271" s="10" t="s">
        <v>557</v>
      </c>
      <c r="C271" s="10" t="s">
        <v>589</v>
      </c>
      <c r="D271" s="10" t="s">
        <v>602</v>
      </c>
      <c r="E271" s="11" t="s">
        <v>11</v>
      </c>
      <c r="F271" s="11"/>
      <c r="G271" s="11"/>
      <c r="H271" s="14"/>
      <c r="I271" s="14"/>
    </row>
    <row r="272" spans="1:9" ht="25.5" customHeight="1" x14ac:dyDescent="0.35">
      <c r="A272" s="9" t="s">
        <v>603</v>
      </c>
      <c r="B272" s="10" t="s">
        <v>557</v>
      </c>
      <c r="C272" s="10" t="s">
        <v>589</v>
      </c>
      <c r="D272" s="10" t="s">
        <v>604</v>
      </c>
      <c r="E272" s="11" t="s">
        <v>11</v>
      </c>
      <c r="F272" s="11"/>
      <c r="G272" s="11"/>
      <c r="H272" s="14"/>
      <c r="I272" s="14"/>
    </row>
    <row r="273" spans="1:9" ht="25.5" customHeight="1" x14ac:dyDescent="0.35">
      <c r="A273" s="9" t="s">
        <v>605</v>
      </c>
      <c r="B273" s="10" t="s">
        <v>557</v>
      </c>
      <c r="C273" s="10" t="s">
        <v>606</v>
      </c>
      <c r="D273" s="10" t="s">
        <v>607</v>
      </c>
      <c r="E273" s="11" t="s">
        <v>11</v>
      </c>
      <c r="F273" s="11"/>
      <c r="G273" s="11"/>
      <c r="H273" s="14"/>
      <c r="I273" s="14"/>
    </row>
    <row r="274" spans="1:9" ht="25.5" customHeight="1" x14ac:dyDescent="0.35">
      <c r="A274" s="9" t="s">
        <v>608</v>
      </c>
      <c r="B274" s="10" t="s">
        <v>557</v>
      </c>
      <c r="C274" s="10" t="s">
        <v>606</v>
      </c>
      <c r="D274" s="10" t="s">
        <v>609</v>
      </c>
      <c r="E274" s="11" t="s">
        <v>11</v>
      </c>
      <c r="F274" s="11"/>
      <c r="G274" s="11"/>
      <c r="H274" s="14"/>
      <c r="I274" s="14"/>
    </row>
    <row r="275" spans="1:9" ht="25.5" customHeight="1" x14ac:dyDescent="0.35">
      <c r="A275" s="9" t="s">
        <v>610</v>
      </c>
      <c r="B275" s="10" t="s">
        <v>557</v>
      </c>
      <c r="C275" s="10" t="s">
        <v>606</v>
      </c>
      <c r="D275" s="10" t="s">
        <v>611</v>
      </c>
      <c r="E275" s="11" t="s">
        <v>11</v>
      </c>
      <c r="F275" s="11"/>
      <c r="G275" s="11"/>
      <c r="H275" s="14"/>
      <c r="I275" s="14"/>
    </row>
    <row r="276" spans="1:9" ht="25.5" customHeight="1" x14ac:dyDescent="0.35">
      <c r="A276" s="9" t="s">
        <v>612</v>
      </c>
      <c r="B276" s="10" t="s">
        <v>557</v>
      </c>
      <c r="C276" s="10" t="s">
        <v>606</v>
      </c>
      <c r="D276" s="10" t="s">
        <v>613</v>
      </c>
      <c r="E276" s="11" t="s">
        <v>11</v>
      </c>
      <c r="F276" s="11"/>
      <c r="G276" s="11"/>
      <c r="H276" s="14"/>
      <c r="I276" s="14"/>
    </row>
    <row r="277" spans="1:9" ht="25.5" customHeight="1" x14ac:dyDescent="0.35">
      <c r="A277" s="9" t="s">
        <v>614</v>
      </c>
      <c r="B277" s="10" t="s">
        <v>557</v>
      </c>
      <c r="C277" s="10" t="s">
        <v>606</v>
      </c>
      <c r="D277" s="10" t="s">
        <v>615</v>
      </c>
      <c r="E277" s="11" t="s">
        <v>11</v>
      </c>
      <c r="F277" s="11"/>
      <c r="G277" s="11"/>
      <c r="H277" s="14"/>
      <c r="I277" s="14"/>
    </row>
    <row r="278" spans="1:9" ht="25.5" customHeight="1" x14ac:dyDescent="0.35">
      <c r="A278" s="9" t="s">
        <v>616</v>
      </c>
      <c r="B278" s="10" t="s">
        <v>557</v>
      </c>
      <c r="C278" s="10" t="s">
        <v>606</v>
      </c>
      <c r="D278" s="10" t="s">
        <v>617</v>
      </c>
      <c r="E278" s="11" t="s">
        <v>11</v>
      </c>
      <c r="F278" s="11"/>
      <c r="G278" s="11"/>
      <c r="H278" s="14"/>
      <c r="I278" s="14"/>
    </row>
    <row r="279" spans="1:9" ht="25.5" customHeight="1" x14ac:dyDescent="0.35">
      <c r="A279" s="9" t="s">
        <v>618</v>
      </c>
      <c r="B279" s="10" t="s">
        <v>557</v>
      </c>
      <c r="C279" s="10" t="s">
        <v>606</v>
      </c>
      <c r="D279" s="10" t="s">
        <v>619</v>
      </c>
      <c r="E279" s="11" t="s">
        <v>11</v>
      </c>
      <c r="F279" s="11"/>
      <c r="G279" s="11"/>
      <c r="H279" s="14"/>
      <c r="I279" s="14"/>
    </row>
    <row r="280" spans="1:9" ht="25.5" customHeight="1" x14ac:dyDescent="0.35">
      <c r="A280" s="9" t="s">
        <v>620</v>
      </c>
      <c r="B280" s="10" t="s">
        <v>557</v>
      </c>
      <c r="C280" s="10" t="s">
        <v>606</v>
      </c>
      <c r="D280" s="10" t="s">
        <v>621</v>
      </c>
      <c r="E280" s="11" t="s">
        <v>11</v>
      </c>
      <c r="F280" s="11"/>
      <c r="G280" s="11"/>
      <c r="H280" s="14"/>
      <c r="I280" s="14"/>
    </row>
    <row r="281" spans="1:9" ht="25.5" customHeight="1" x14ac:dyDescent="0.35">
      <c r="A281" s="9" t="s">
        <v>622</v>
      </c>
      <c r="B281" s="10" t="s">
        <v>557</v>
      </c>
      <c r="C281" s="10" t="s">
        <v>606</v>
      </c>
      <c r="D281" s="10" t="s">
        <v>623</v>
      </c>
      <c r="E281" s="11" t="s">
        <v>11</v>
      </c>
      <c r="F281" s="11"/>
      <c r="G281" s="11"/>
      <c r="H281" s="14"/>
      <c r="I281" s="14"/>
    </row>
    <row r="282" spans="1:9" ht="25.5" customHeight="1" x14ac:dyDescent="0.35">
      <c r="A282" s="9" t="s">
        <v>624</v>
      </c>
      <c r="B282" s="10" t="s">
        <v>557</v>
      </c>
      <c r="C282" s="10" t="s">
        <v>625</v>
      </c>
      <c r="D282" s="10" t="s">
        <v>626</v>
      </c>
      <c r="E282" s="11" t="s">
        <v>11</v>
      </c>
      <c r="F282" s="11"/>
      <c r="G282" s="11"/>
      <c r="H282" s="14"/>
      <c r="I282" s="14"/>
    </row>
    <row r="283" spans="1:9" ht="25.5" customHeight="1" x14ac:dyDescent="0.35">
      <c r="A283" s="9" t="s">
        <v>627</v>
      </c>
      <c r="B283" s="10" t="s">
        <v>557</v>
      </c>
      <c r="C283" s="10" t="s">
        <v>625</v>
      </c>
      <c r="D283" s="10" t="s">
        <v>628</v>
      </c>
      <c r="E283" s="11" t="s">
        <v>11</v>
      </c>
      <c r="F283" s="11"/>
      <c r="G283" s="11"/>
      <c r="H283" s="14"/>
      <c r="I283" s="14"/>
    </row>
    <row r="284" spans="1:9" ht="25.5" customHeight="1" x14ac:dyDescent="0.35">
      <c r="A284" s="9" t="s">
        <v>629</v>
      </c>
      <c r="B284" s="10" t="s">
        <v>557</v>
      </c>
      <c r="C284" s="10" t="s">
        <v>625</v>
      </c>
      <c r="D284" s="10" t="s">
        <v>630</v>
      </c>
      <c r="E284" s="11" t="s">
        <v>13</v>
      </c>
      <c r="F284" s="11"/>
      <c r="G284" s="11"/>
      <c r="H284" s="14"/>
      <c r="I284" s="14"/>
    </row>
    <row r="285" spans="1:9" ht="25.5" customHeight="1" x14ac:dyDescent="0.35">
      <c r="A285" s="9" t="s">
        <v>631</v>
      </c>
      <c r="B285" s="10" t="s">
        <v>557</v>
      </c>
      <c r="C285" s="10" t="s">
        <v>625</v>
      </c>
      <c r="D285" s="10" t="s">
        <v>632</v>
      </c>
      <c r="E285" s="11" t="s">
        <v>13</v>
      </c>
      <c r="F285" s="11"/>
      <c r="G285" s="11"/>
      <c r="H285" s="14"/>
      <c r="I285" s="14"/>
    </row>
    <row r="286" spans="1:9" ht="25.5" customHeight="1" x14ac:dyDescent="0.35">
      <c r="A286" s="9" t="s">
        <v>633</v>
      </c>
      <c r="B286" s="10" t="s">
        <v>557</v>
      </c>
      <c r="C286" s="10" t="s">
        <v>625</v>
      </c>
      <c r="D286" s="10" t="s">
        <v>634</v>
      </c>
      <c r="E286" s="11" t="s">
        <v>13</v>
      </c>
      <c r="F286" s="11"/>
      <c r="G286" s="11"/>
      <c r="H286" s="14"/>
      <c r="I286" s="14"/>
    </row>
    <row r="287" spans="1:9" ht="25.5" customHeight="1" x14ac:dyDescent="0.35">
      <c r="A287" s="9" t="s">
        <v>635</v>
      </c>
      <c r="B287" s="10" t="s">
        <v>557</v>
      </c>
      <c r="C287" s="10" t="s">
        <v>625</v>
      </c>
      <c r="D287" s="10" t="s">
        <v>636</v>
      </c>
      <c r="E287" s="11" t="s">
        <v>13</v>
      </c>
      <c r="F287" s="11"/>
      <c r="G287" s="11"/>
      <c r="H287" s="14"/>
      <c r="I287" s="14"/>
    </row>
    <row r="288" spans="1:9" ht="25.5" customHeight="1" x14ac:dyDescent="0.35">
      <c r="A288" s="9" t="s">
        <v>637</v>
      </c>
      <c r="B288" s="10" t="s">
        <v>557</v>
      </c>
      <c r="C288" s="10" t="s">
        <v>625</v>
      </c>
      <c r="D288" s="10" t="s">
        <v>638</v>
      </c>
      <c r="E288" s="11" t="s">
        <v>13</v>
      </c>
      <c r="F288" s="11"/>
      <c r="G288" s="11"/>
      <c r="H288" s="14"/>
      <c r="I288" s="14"/>
    </row>
    <row r="289" spans="1:9" ht="25.5" customHeight="1" x14ac:dyDescent="0.35">
      <c r="A289" s="9" t="s">
        <v>639</v>
      </c>
      <c r="B289" s="10" t="s">
        <v>557</v>
      </c>
      <c r="C289" s="10" t="s">
        <v>625</v>
      </c>
      <c r="D289" s="10" t="s">
        <v>640</v>
      </c>
      <c r="E289" s="11" t="s">
        <v>13</v>
      </c>
      <c r="F289" s="11"/>
      <c r="G289" s="11"/>
      <c r="H289" s="14"/>
      <c r="I289" s="14"/>
    </row>
    <row r="290" spans="1:9" ht="25.5" customHeight="1" x14ac:dyDescent="0.35">
      <c r="A290" s="9" t="s">
        <v>641</v>
      </c>
      <c r="B290" s="10" t="s">
        <v>557</v>
      </c>
      <c r="C290" s="10" t="s">
        <v>625</v>
      </c>
      <c r="D290" s="10" t="s">
        <v>642</v>
      </c>
      <c r="E290" s="11" t="s">
        <v>11</v>
      </c>
      <c r="F290" s="11"/>
      <c r="G290" s="11"/>
      <c r="H290" s="14"/>
      <c r="I290" s="14"/>
    </row>
    <row r="291" spans="1:9" ht="25.5" customHeight="1" x14ac:dyDescent="0.35">
      <c r="A291" s="9" t="s">
        <v>643</v>
      </c>
      <c r="B291" s="10" t="s">
        <v>557</v>
      </c>
      <c r="C291" s="10" t="s">
        <v>644</v>
      </c>
      <c r="D291" s="10" t="s">
        <v>645</v>
      </c>
      <c r="E291" s="11" t="s">
        <v>11</v>
      </c>
      <c r="F291" s="11"/>
      <c r="G291" s="11"/>
      <c r="H291" s="14"/>
      <c r="I291" s="14"/>
    </row>
    <row r="292" spans="1:9" ht="25.5" customHeight="1" x14ac:dyDescent="0.35">
      <c r="A292" s="9" t="s">
        <v>646</v>
      </c>
      <c r="B292" s="10" t="s">
        <v>557</v>
      </c>
      <c r="C292" s="10" t="s">
        <v>644</v>
      </c>
      <c r="D292" s="10" t="s">
        <v>647</v>
      </c>
      <c r="E292" s="11" t="s">
        <v>11</v>
      </c>
      <c r="F292" s="11"/>
      <c r="G292" s="11"/>
      <c r="H292" s="14"/>
      <c r="I292" s="14"/>
    </row>
    <row r="293" spans="1:9" ht="25.5" customHeight="1" x14ac:dyDescent="0.35">
      <c r="A293" s="9" t="s">
        <v>648</v>
      </c>
      <c r="B293" s="10" t="s">
        <v>557</v>
      </c>
      <c r="C293" s="10" t="s">
        <v>644</v>
      </c>
      <c r="D293" s="10" t="s">
        <v>649</v>
      </c>
      <c r="E293" s="11" t="s">
        <v>11</v>
      </c>
      <c r="F293" s="11"/>
      <c r="G293" s="11"/>
      <c r="H293" s="14"/>
      <c r="I293" s="14"/>
    </row>
    <row r="294" spans="1:9" ht="25.5" customHeight="1" x14ac:dyDescent="0.35">
      <c r="A294" s="9" t="s">
        <v>650</v>
      </c>
      <c r="B294" s="10" t="s">
        <v>557</v>
      </c>
      <c r="C294" s="10" t="s">
        <v>644</v>
      </c>
      <c r="D294" s="10" t="s">
        <v>651</v>
      </c>
      <c r="E294" s="11" t="s">
        <v>11</v>
      </c>
      <c r="F294" s="11"/>
      <c r="G294" s="11"/>
      <c r="H294" s="14"/>
      <c r="I294" s="14"/>
    </row>
    <row r="295" spans="1:9" ht="25.5" customHeight="1" x14ac:dyDescent="0.35">
      <c r="A295" s="9" t="s">
        <v>652</v>
      </c>
      <c r="B295" s="10" t="s">
        <v>557</v>
      </c>
      <c r="C295" s="10" t="s">
        <v>644</v>
      </c>
      <c r="D295" s="10" t="s">
        <v>653</v>
      </c>
      <c r="E295" s="11" t="s">
        <v>11</v>
      </c>
      <c r="F295" s="11"/>
      <c r="G295" s="11"/>
      <c r="H295" s="14"/>
      <c r="I295" s="14"/>
    </row>
    <row r="296" spans="1:9" ht="25.5" customHeight="1" x14ac:dyDescent="0.35">
      <c r="A296" s="9" t="s">
        <v>654</v>
      </c>
      <c r="B296" s="10" t="s">
        <v>557</v>
      </c>
      <c r="C296" s="10" t="s">
        <v>644</v>
      </c>
      <c r="D296" s="10" t="s">
        <v>655</v>
      </c>
      <c r="E296" s="11" t="s">
        <v>13</v>
      </c>
      <c r="F296" s="11"/>
      <c r="G296" s="11"/>
      <c r="H296" s="14"/>
      <c r="I296" s="14"/>
    </row>
    <row r="297" spans="1:9" ht="25.5" customHeight="1" x14ac:dyDescent="0.35">
      <c r="A297" s="9" t="s">
        <v>656</v>
      </c>
      <c r="B297" s="10" t="s">
        <v>557</v>
      </c>
      <c r="C297" s="10" t="s">
        <v>644</v>
      </c>
      <c r="D297" s="10" t="s">
        <v>657</v>
      </c>
      <c r="E297" s="11" t="s">
        <v>11</v>
      </c>
      <c r="F297" s="11"/>
      <c r="G297" s="11"/>
      <c r="H297" s="14"/>
      <c r="I297" s="14"/>
    </row>
    <row r="298" spans="1:9" ht="25.5" customHeight="1" x14ac:dyDescent="0.35">
      <c r="A298" s="9" t="s">
        <v>658</v>
      </c>
      <c r="B298" s="10" t="s">
        <v>557</v>
      </c>
      <c r="C298" s="10" t="s">
        <v>644</v>
      </c>
      <c r="D298" s="10" t="s">
        <v>659</v>
      </c>
      <c r="E298" s="11" t="s">
        <v>11</v>
      </c>
      <c r="F298" s="11"/>
      <c r="G298" s="11"/>
      <c r="H298" s="14"/>
      <c r="I298" s="14"/>
    </row>
    <row r="299" spans="1:9" ht="25.5" customHeight="1" x14ac:dyDescent="0.35">
      <c r="A299" s="9" t="s">
        <v>660</v>
      </c>
      <c r="B299" s="10" t="s">
        <v>557</v>
      </c>
      <c r="C299" s="10" t="s">
        <v>644</v>
      </c>
      <c r="D299" s="10" t="s">
        <v>661</v>
      </c>
      <c r="E299" s="11" t="s">
        <v>13</v>
      </c>
      <c r="F299" s="11"/>
      <c r="G299" s="11"/>
      <c r="H299" s="14"/>
      <c r="I299" s="14"/>
    </row>
    <row r="300" spans="1:9" ht="25.5" customHeight="1" x14ac:dyDescent="0.35">
      <c r="A300" s="9" t="s">
        <v>662</v>
      </c>
      <c r="B300" s="10" t="s">
        <v>557</v>
      </c>
      <c r="C300" s="10" t="s">
        <v>663</v>
      </c>
      <c r="D300" s="10" t="s">
        <v>664</v>
      </c>
      <c r="E300" s="11" t="s">
        <v>11</v>
      </c>
      <c r="F300" s="11"/>
      <c r="G300" s="11"/>
      <c r="H300" s="14"/>
      <c r="I300" s="14"/>
    </row>
    <row r="301" spans="1:9" ht="25.5" customHeight="1" x14ac:dyDescent="0.35">
      <c r="A301" s="9" t="s">
        <v>665</v>
      </c>
      <c r="B301" s="10" t="s">
        <v>557</v>
      </c>
      <c r="C301" s="10" t="s">
        <v>663</v>
      </c>
      <c r="D301" s="10" t="s">
        <v>666</v>
      </c>
      <c r="E301" s="11" t="s">
        <v>11</v>
      </c>
      <c r="F301" s="11"/>
      <c r="G301" s="11"/>
      <c r="H301" s="14"/>
      <c r="I301" s="14"/>
    </row>
    <row r="302" spans="1:9" ht="25.5" customHeight="1" x14ac:dyDescent="0.35">
      <c r="A302" s="9" t="s">
        <v>667</v>
      </c>
      <c r="B302" s="10" t="s">
        <v>557</v>
      </c>
      <c r="C302" s="10" t="s">
        <v>663</v>
      </c>
      <c r="D302" s="10" t="s">
        <v>668</v>
      </c>
      <c r="E302" s="11" t="s">
        <v>11</v>
      </c>
      <c r="F302" s="11"/>
      <c r="G302" s="11"/>
      <c r="H302" s="14"/>
      <c r="I302" s="14"/>
    </row>
    <row r="303" spans="1:9" ht="25.5" customHeight="1" x14ac:dyDescent="0.35">
      <c r="A303" s="9" t="s">
        <v>669</v>
      </c>
      <c r="B303" s="10" t="s">
        <v>557</v>
      </c>
      <c r="C303" s="10" t="s">
        <v>663</v>
      </c>
      <c r="D303" s="10" t="s">
        <v>670</v>
      </c>
      <c r="E303" s="11" t="s">
        <v>13</v>
      </c>
      <c r="F303" s="11"/>
      <c r="G303" s="11"/>
      <c r="H303" s="14"/>
      <c r="I303" s="14"/>
    </row>
    <row r="304" spans="1:9" ht="25.5" customHeight="1" x14ac:dyDescent="0.35">
      <c r="A304" s="9" t="s">
        <v>671</v>
      </c>
      <c r="B304" s="10" t="s">
        <v>557</v>
      </c>
      <c r="C304" s="10" t="s">
        <v>663</v>
      </c>
      <c r="D304" s="10" t="s">
        <v>672</v>
      </c>
      <c r="E304" s="11" t="s">
        <v>11</v>
      </c>
      <c r="F304" s="11"/>
      <c r="G304" s="11"/>
      <c r="H304" s="14"/>
      <c r="I304" s="14"/>
    </row>
    <row r="305" spans="1:9" ht="25.5" customHeight="1" x14ac:dyDescent="0.35">
      <c r="A305" s="9" t="s">
        <v>673</v>
      </c>
      <c r="B305" s="10" t="s">
        <v>557</v>
      </c>
      <c r="C305" s="10" t="s">
        <v>663</v>
      </c>
      <c r="D305" s="10" t="s">
        <v>674</v>
      </c>
      <c r="E305" s="11" t="s">
        <v>11</v>
      </c>
      <c r="F305" s="11"/>
      <c r="G305" s="11"/>
      <c r="H305" s="14"/>
      <c r="I305" s="14"/>
    </row>
    <row r="306" spans="1:9" ht="25.5" customHeight="1" x14ac:dyDescent="0.35">
      <c r="A306" s="9" t="s">
        <v>675</v>
      </c>
      <c r="B306" s="10" t="s">
        <v>557</v>
      </c>
      <c r="C306" s="10" t="s">
        <v>663</v>
      </c>
      <c r="D306" s="10" t="s">
        <v>676</v>
      </c>
      <c r="E306" s="11" t="s">
        <v>11</v>
      </c>
      <c r="F306" s="11"/>
      <c r="G306" s="11"/>
      <c r="H306" s="14"/>
      <c r="I306" s="14"/>
    </row>
    <row r="307" spans="1:9" ht="25.5" customHeight="1" x14ac:dyDescent="0.35">
      <c r="A307" s="9" t="s">
        <v>677</v>
      </c>
      <c r="B307" s="10" t="s">
        <v>557</v>
      </c>
      <c r="C307" s="10" t="s">
        <v>663</v>
      </c>
      <c r="D307" s="10" t="s">
        <v>678</v>
      </c>
      <c r="E307" s="11" t="s">
        <v>13</v>
      </c>
      <c r="F307" s="11"/>
      <c r="G307" s="11"/>
      <c r="H307" s="14"/>
      <c r="I307" s="14"/>
    </row>
    <row r="308" spans="1:9" ht="25.5" customHeight="1" x14ac:dyDescent="0.35">
      <c r="A308" s="9" t="s">
        <v>679</v>
      </c>
      <c r="B308" s="10" t="s">
        <v>557</v>
      </c>
      <c r="C308" s="10" t="s">
        <v>680</v>
      </c>
      <c r="D308" s="10" t="s">
        <v>681</v>
      </c>
      <c r="E308" s="11" t="s">
        <v>13</v>
      </c>
      <c r="F308" s="11"/>
      <c r="G308" s="11"/>
      <c r="H308" s="14"/>
      <c r="I308" s="14"/>
    </row>
    <row r="309" spans="1:9" ht="25.5" customHeight="1" x14ac:dyDescent="0.35">
      <c r="A309" s="9" t="s">
        <v>682</v>
      </c>
      <c r="B309" s="10" t="s">
        <v>557</v>
      </c>
      <c r="C309" s="10" t="s">
        <v>680</v>
      </c>
      <c r="D309" s="10" t="s">
        <v>683</v>
      </c>
      <c r="E309" s="11" t="s">
        <v>13</v>
      </c>
      <c r="F309" s="11"/>
      <c r="G309" s="11"/>
      <c r="H309" s="14"/>
      <c r="I309" s="14"/>
    </row>
    <row r="310" spans="1:9" ht="25.5" customHeight="1" x14ac:dyDescent="0.35">
      <c r="A310" s="9" t="s">
        <v>684</v>
      </c>
      <c r="B310" s="10" t="s">
        <v>557</v>
      </c>
      <c r="C310" s="10" t="s">
        <v>680</v>
      </c>
      <c r="D310" s="10" t="s">
        <v>685</v>
      </c>
      <c r="E310" s="11" t="s">
        <v>13</v>
      </c>
      <c r="F310" s="11"/>
      <c r="G310" s="11"/>
      <c r="H310" s="14"/>
      <c r="I310" s="14"/>
    </row>
    <row r="311" spans="1:9" ht="25.5" customHeight="1" x14ac:dyDescent="0.35">
      <c r="A311" s="9" t="s">
        <v>686</v>
      </c>
      <c r="B311" s="10" t="s">
        <v>557</v>
      </c>
      <c r="C311" s="10" t="s">
        <v>680</v>
      </c>
      <c r="D311" s="10" t="s">
        <v>687</v>
      </c>
      <c r="E311" s="11" t="s">
        <v>13</v>
      </c>
      <c r="F311" s="11"/>
      <c r="G311" s="11"/>
      <c r="H311" s="14"/>
      <c r="I311" s="14"/>
    </row>
    <row r="312" spans="1:9" ht="25.5" customHeight="1" x14ac:dyDescent="0.35">
      <c r="A312" s="9" t="s">
        <v>688</v>
      </c>
      <c r="B312" s="10" t="s">
        <v>557</v>
      </c>
      <c r="C312" s="10" t="s">
        <v>680</v>
      </c>
      <c r="D312" s="10" t="s">
        <v>689</v>
      </c>
      <c r="E312" s="11" t="s">
        <v>11</v>
      </c>
      <c r="F312" s="11"/>
      <c r="G312" s="11"/>
      <c r="H312" s="14"/>
      <c r="I312" s="14"/>
    </row>
    <row r="313" spans="1:9" ht="39" customHeight="1" x14ac:dyDescent="0.35">
      <c r="A313" s="9" t="s">
        <v>690</v>
      </c>
      <c r="B313" s="10" t="s">
        <v>557</v>
      </c>
      <c r="C313" s="10" t="s">
        <v>680</v>
      </c>
      <c r="D313" s="10" t="s">
        <v>691</v>
      </c>
      <c r="E313" s="11" t="s">
        <v>13</v>
      </c>
      <c r="F313" s="11"/>
      <c r="G313" s="11"/>
      <c r="H313" s="14"/>
      <c r="I313" s="14"/>
    </row>
    <row r="314" spans="1:9" ht="25.5" customHeight="1" x14ac:dyDescent="0.35">
      <c r="A314" s="9" t="s">
        <v>692</v>
      </c>
      <c r="B314" s="10" t="s">
        <v>557</v>
      </c>
      <c r="C314" s="10" t="s">
        <v>680</v>
      </c>
      <c r="D314" s="10" t="s">
        <v>693</v>
      </c>
      <c r="E314" s="11" t="s">
        <v>11</v>
      </c>
      <c r="F314" s="11"/>
      <c r="G314" s="11"/>
      <c r="H314" s="14"/>
      <c r="I314" s="14"/>
    </row>
    <row r="315" spans="1:9" ht="25.5" customHeight="1" x14ac:dyDescent="0.35">
      <c r="A315" s="9" t="s">
        <v>694</v>
      </c>
      <c r="B315" s="10" t="s">
        <v>557</v>
      </c>
      <c r="C315" s="10" t="s">
        <v>680</v>
      </c>
      <c r="D315" s="10" t="s">
        <v>695</v>
      </c>
      <c r="E315" s="11" t="s">
        <v>13</v>
      </c>
      <c r="F315" s="11"/>
      <c r="G315" s="11"/>
      <c r="H315" s="14"/>
      <c r="I315" s="14"/>
    </row>
    <row r="316" spans="1:9" ht="25.5" customHeight="1" x14ac:dyDescent="0.35">
      <c r="A316" s="9" t="s">
        <v>696</v>
      </c>
      <c r="B316" s="10" t="s">
        <v>557</v>
      </c>
      <c r="C316" s="10" t="s">
        <v>680</v>
      </c>
      <c r="D316" s="10" t="s">
        <v>697</v>
      </c>
      <c r="E316" s="11" t="s">
        <v>13</v>
      </c>
      <c r="F316" s="11"/>
      <c r="G316" s="11"/>
      <c r="H316" s="14"/>
      <c r="I316" s="14"/>
    </row>
    <row r="317" spans="1:9" ht="25.5" customHeight="1" x14ac:dyDescent="0.35">
      <c r="A317" s="9" t="s">
        <v>698</v>
      </c>
      <c r="B317" s="10" t="s">
        <v>557</v>
      </c>
      <c r="C317" s="10" t="s">
        <v>680</v>
      </c>
      <c r="D317" s="10" t="s">
        <v>699</v>
      </c>
      <c r="E317" s="11" t="s">
        <v>13</v>
      </c>
      <c r="F317" s="11"/>
      <c r="G317" s="11"/>
      <c r="H317" s="14"/>
      <c r="I317" s="14"/>
    </row>
    <row r="318" spans="1:9" ht="25.5" customHeight="1" x14ac:dyDescent="0.35">
      <c r="A318" s="9" t="s">
        <v>700</v>
      </c>
      <c r="B318" s="10" t="s">
        <v>557</v>
      </c>
      <c r="C318" s="10" t="s">
        <v>701</v>
      </c>
      <c r="D318" s="10" t="s">
        <v>702</v>
      </c>
      <c r="E318" s="11" t="s">
        <v>11</v>
      </c>
      <c r="F318" s="11"/>
      <c r="G318" s="11"/>
      <c r="H318" s="14"/>
      <c r="I318" s="14"/>
    </row>
    <row r="319" spans="1:9" ht="25.5" customHeight="1" x14ac:dyDescent="0.35">
      <c r="A319" s="9" t="s">
        <v>703</v>
      </c>
      <c r="B319" s="10" t="s">
        <v>557</v>
      </c>
      <c r="C319" s="10" t="s">
        <v>701</v>
      </c>
      <c r="D319" s="10" t="s">
        <v>704</v>
      </c>
      <c r="E319" s="11" t="s">
        <v>11</v>
      </c>
      <c r="F319" s="11"/>
      <c r="G319" s="11"/>
      <c r="H319" s="14"/>
      <c r="I319" s="14"/>
    </row>
    <row r="320" spans="1:9" ht="25.5" customHeight="1" x14ac:dyDescent="0.35">
      <c r="A320" s="9" t="s">
        <v>705</v>
      </c>
      <c r="B320" s="10" t="s">
        <v>557</v>
      </c>
      <c r="C320" s="10" t="s">
        <v>701</v>
      </c>
      <c r="D320" s="10" t="s">
        <v>706</v>
      </c>
      <c r="E320" s="11" t="s">
        <v>11</v>
      </c>
      <c r="F320" s="11"/>
      <c r="G320" s="11"/>
      <c r="H320" s="14"/>
      <c r="I320" s="14"/>
    </row>
    <row r="321" spans="1:9" ht="25.5" customHeight="1" x14ac:dyDescent="0.35">
      <c r="A321" s="9" t="s">
        <v>707</v>
      </c>
      <c r="B321" s="10" t="s">
        <v>557</v>
      </c>
      <c r="C321" s="10" t="s">
        <v>701</v>
      </c>
      <c r="D321" s="10" t="s">
        <v>708</v>
      </c>
      <c r="E321" s="11" t="s">
        <v>11</v>
      </c>
      <c r="F321" s="11"/>
      <c r="G321" s="11"/>
      <c r="H321" s="14"/>
      <c r="I321" s="14"/>
    </row>
    <row r="322" spans="1:9" ht="25.5" customHeight="1" x14ac:dyDescent="0.35">
      <c r="A322" s="9" t="s">
        <v>709</v>
      </c>
      <c r="B322" s="10" t="s">
        <v>557</v>
      </c>
      <c r="C322" s="10" t="s">
        <v>701</v>
      </c>
      <c r="D322" s="10" t="s">
        <v>710</v>
      </c>
      <c r="E322" s="11" t="s">
        <v>11</v>
      </c>
      <c r="F322" s="11"/>
      <c r="G322" s="11"/>
      <c r="H322" s="14"/>
      <c r="I322" s="14"/>
    </row>
    <row r="323" spans="1:9" ht="25.5" customHeight="1" x14ac:dyDescent="0.35">
      <c r="A323" s="9" t="s">
        <v>711</v>
      </c>
      <c r="B323" s="10" t="s">
        <v>557</v>
      </c>
      <c r="C323" s="10" t="s">
        <v>701</v>
      </c>
      <c r="D323" s="10" t="s">
        <v>712</v>
      </c>
      <c r="E323" s="11" t="s">
        <v>11</v>
      </c>
      <c r="F323" s="11"/>
      <c r="G323" s="11"/>
      <c r="H323" s="14"/>
      <c r="I323" s="14"/>
    </row>
    <row r="324" spans="1:9" ht="25.5" customHeight="1" x14ac:dyDescent="0.35">
      <c r="A324" s="9" t="s">
        <v>713</v>
      </c>
      <c r="B324" s="10" t="s">
        <v>557</v>
      </c>
      <c r="C324" s="10" t="s">
        <v>701</v>
      </c>
      <c r="D324" s="10" t="s">
        <v>714</v>
      </c>
      <c r="E324" s="11" t="s">
        <v>11</v>
      </c>
      <c r="F324" s="11"/>
      <c r="G324" s="11"/>
      <c r="H324" s="14"/>
      <c r="I324" s="14"/>
    </row>
    <row r="325" spans="1:9" ht="25.5" customHeight="1" x14ac:dyDescent="0.35">
      <c r="A325" s="9" t="s">
        <v>715</v>
      </c>
      <c r="B325" s="10" t="s">
        <v>557</v>
      </c>
      <c r="C325" s="10" t="s">
        <v>716</v>
      </c>
      <c r="D325" s="10" t="s">
        <v>717</v>
      </c>
      <c r="E325" s="11" t="s">
        <v>13</v>
      </c>
      <c r="F325" s="11"/>
      <c r="G325" s="11"/>
      <c r="H325" s="14"/>
      <c r="I325" s="14"/>
    </row>
    <row r="326" spans="1:9" ht="25.5" customHeight="1" x14ac:dyDescent="0.35">
      <c r="A326" s="9" t="s">
        <v>718</v>
      </c>
      <c r="B326" s="10" t="s">
        <v>557</v>
      </c>
      <c r="C326" s="10" t="s">
        <v>716</v>
      </c>
      <c r="D326" s="10" t="s">
        <v>719</v>
      </c>
      <c r="E326" s="11" t="s">
        <v>13</v>
      </c>
      <c r="F326" s="11"/>
      <c r="G326" s="11"/>
      <c r="H326" s="14"/>
      <c r="I326" s="14"/>
    </row>
    <row r="327" spans="1:9" ht="25.5" customHeight="1" x14ac:dyDescent="0.35">
      <c r="A327" s="9" t="s">
        <v>720</v>
      </c>
      <c r="B327" s="10" t="s">
        <v>557</v>
      </c>
      <c r="C327" s="10" t="s">
        <v>716</v>
      </c>
      <c r="D327" s="10" t="s">
        <v>721</v>
      </c>
      <c r="E327" s="11" t="s">
        <v>13</v>
      </c>
      <c r="F327" s="11"/>
      <c r="G327" s="11"/>
      <c r="H327" s="14"/>
      <c r="I327" s="14"/>
    </row>
    <row r="328" spans="1:9" ht="25.5" customHeight="1" x14ac:dyDescent="0.35">
      <c r="A328" s="9" t="s">
        <v>722</v>
      </c>
      <c r="B328" s="10" t="s">
        <v>557</v>
      </c>
      <c r="C328" s="10" t="s">
        <v>716</v>
      </c>
      <c r="D328" s="10" t="s">
        <v>723</v>
      </c>
      <c r="E328" s="11" t="s">
        <v>15</v>
      </c>
      <c r="F328" s="11"/>
      <c r="G328" s="11"/>
      <c r="H328" s="14"/>
      <c r="I328" s="14"/>
    </row>
    <row r="329" spans="1:9" ht="25.5" customHeight="1" x14ac:dyDescent="0.35">
      <c r="A329" s="9" t="s">
        <v>724</v>
      </c>
      <c r="B329" s="10" t="s">
        <v>557</v>
      </c>
      <c r="C329" s="10" t="s">
        <v>716</v>
      </c>
      <c r="D329" s="10" t="s">
        <v>725</v>
      </c>
      <c r="E329" s="11" t="s">
        <v>13</v>
      </c>
      <c r="F329" s="11"/>
      <c r="G329" s="11"/>
      <c r="H329" s="14"/>
      <c r="I329" s="14"/>
    </row>
    <row r="330" spans="1:9" ht="25.5" customHeight="1" x14ac:dyDescent="0.35">
      <c r="A330" s="9" t="s">
        <v>726</v>
      </c>
      <c r="B330" s="10" t="s">
        <v>557</v>
      </c>
      <c r="C330" s="10" t="s">
        <v>716</v>
      </c>
      <c r="D330" s="10" t="s">
        <v>727</v>
      </c>
      <c r="E330" s="11" t="s">
        <v>13</v>
      </c>
      <c r="F330" s="11"/>
      <c r="G330" s="11"/>
      <c r="H330" s="14"/>
      <c r="I330" s="14"/>
    </row>
    <row r="331" spans="1:9" ht="25.5" customHeight="1" x14ac:dyDescent="0.35">
      <c r="A331" s="9" t="s">
        <v>728</v>
      </c>
      <c r="B331" s="10" t="s">
        <v>557</v>
      </c>
      <c r="C331" s="10" t="s">
        <v>716</v>
      </c>
      <c r="D331" s="10" t="s">
        <v>729</v>
      </c>
      <c r="E331" s="11" t="s">
        <v>13</v>
      </c>
      <c r="F331" s="11"/>
      <c r="G331" s="11"/>
      <c r="H331" s="14"/>
      <c r="I331" s="14"/>
    </row>
    <row r="332" spans="1:9" ht="25.5" customHeight="1" x14ac:dyDescent="0.35">
      <c r="A332" s="9" t="s">
        <v>730</v>
      </c>
      <c r="B332" s="10" t="s">
        <v>557</v>
      </c>
      <c r="C332" s="10" t="s">
        <v>731</v>
      </c>
      <c r="D332" s="10" t="s">
        <v>732</v>
      </c>
      <c r="E332" s="11" t="s">
        <v>13</v>
      </c>
      <c r="F332" s="11"/>
      <c r="G332" s="11"/>
      <c r="H332" s="14"/>
      <c r="I332" s="14"/>
    </row>
    <row r="333" spans="1:9" ht="25.5" customHeight="1" x14ac:dyDescent="0.35">
      <c r="A333" s="9" t="s">
        <v>733</v>
      </c>
      <c r="B333" s="10" t="s">
        <v>557</v>
      </c>
      <c r="C333" s="10" t="s">
        <v>731</v>
      </c>
      <c r="D333" s="10" t="s">
        <v>734</v>
      </c>
      <c r="E333" s="11" t="s">
        <v>13</v>
      </c>
      <c r="F333" s="11"/>
      <c r="G333" s="11"/>
      <c r="H333" s="14"/>
      <c r="I333" s="14"/>
    </row>
    <row r="334" spans="1:9" ht="25.5" customHeight="1" x14ac:dyDescent="0.35">
      <c r="A334" s="9" t="s">
        <v>735</v>
      </c>
      <c r="B334" s="10" t="s">
        <v>557</v>
      </c>
      <c r="C334" s="10" t="s">
        <v>731</v>
      </c>
      <c r="D334" s="10" t="s">
        <v>736</v>
      </c>
      <c r="E334" s="11" t="s">
        <v>13</v>
      </c>
      <c r="F334" s="11"/>
      <c r="G334" s="11"/>
      <c r="H334" s="14"/>
      <c r="I334" s="14"/>
    </row>
    <row r="335" spans="1:9" ht="25.5" customHeight="1" x14ac:dyDescent="0.35">
      <c r="A335" s="9" t="s">
        <v>737</v>
      </c>
      <c r="B335" s="10" t="s">
        <v>557</v>
      </c>
      <c r="C335" s="10" t="s">
        <v>731</v>
      </c>
      <c r="D335" s="10" t="s">
        <v>738</v>
      </c>
      <c r="E335" s="11" t="s">
        <v>13</v>
      </c>
      <c r="F335" s="11"/>
      <c r="G335" s="11"/>
      <c r="H335" s="14"/>
      <c r="I335" s="14"/>
    </row>
    <row r="336" spans="1:9" ht="25.5" customHeight="1" x14ac:dyDescent="0.35">
      <c r="A336" s="9" t="s">
        <v>739</v>
      </c>
      <c r="B336" s="10" t="s">
        <v>557</v>
      </c>
      <c r="C336" s="10" t="s">
        <v>731</v>
      </c>
      <c r="D336" s="10" t="s">
        <v>740</v>
      </c>
      <c r="E336" s="11" t="s">
        <v>13</v>
      </c>
      <c r="F336" s="11"/>
      <c r="G336" s="11"/>
      <c r="H336" s="14"/>
      <c r="I336" s="14"/>
    </row>
    <row r="337" spans="1:9" ht="25.5" customHeight="1" x14ac:dyDescent="0.35">
      <c r="A337" s="9" t="s">
        <v>741</v>
      </c>
      <c r="B337" s="10" t="s">
        <v>557</v>
      </c>
      <c r="C337" s="10" t="s">
        <v>731</v>
      </c>
      <c r="D337" s="10" t="s">
        <v>742</v>
      </c>
      <c r="E337" s="11" t="s">
        <v>13</v>
      </c>
      <c r="F337" s="11"/>
      <c r="G337" s="11"/>
      <c r="H337" s="14"/>
      <c r="I337" s="14"/>
    </row>
    <row r="338" spans="1:9" ht="25.5" customHeight="1" x14ac:dyDescent="0.35">
      <c r="A338" s="9" t="s">
        <v>743</v>
      </c>
      <c r="B338" s="10" t="s">
        <v>557</v>
      </c>
      <c r="C338" s="10" t="s">
        <v>731</v>
      </c>
      <c r="D338" s="10" t="s">
        <v>744</v>
      </c>
      <c r="E338" s="11" t="s">
        <v>13</v>
      </c>
      <c r="F338" s="11"/>
      <c r="G338" s="11"/>
      <c r="H338" s="14"/>
      <c r="I338" s="14"/>
    </row>
    <row r="339" spans="1:9" ht="25.5" customHeight="1" x14ac:dyDescent="0.35">
      <c r="A339" s="9" t="s">
        <v>745</v>
      </c>
      <c r="B339" s="10" t="s">
        <v>557</v>
      </c>
      <c r="C339" s="10" t="s">
        <v>746</v>
      </c>
      <c r="D339" s="10" t="s">
        <v>747</v>
      </c>
      <c r="E339" s="11" t="s">
        <v>11</v>
      </c>
      <c r="F339" s="11"/>
      <c r="G339" s="11"/>
      <c r="H339" s="14"/>
      <c r="I339" s="14"/>
    </row>
    <row r="340" spans="1:9" ht="25.5" customHeight="1" x14ac:dyDescent="0.35">
      <c r="A340" s="9" t="s">
        <v>748</v>
      </c>
      <c r="B340" s="10" t="s">
        <v>557</v>
      </c>
      <c r="C340" s="10" t="s">
        <v>746</v>
      </c>
      <c r="D340" s="10" t="s">
        <v>749</v>
      </c>
      <c r="E340" s="11" t="s">
        <v>11</v>
      </c>
      <c r="F340" s="11"/>
      <c r="G340" s="11"/>
      <c r="H340" s="14"/>
      <c r="I340" s="14"/>
    </row>
    <row r="341" spans="1:9" ht="25.5" customHeight="1" x14ac:dyDescent="0.35">
      <c r="A341" s="9" t="s">
        <v>750</v>
      </c>
      <c r="B341" s="10" t="s">
        <v>557</v>
      </c>
      <c r="C341" s="10" t="s">
        <v>746</v>
      </c>
      <c r="D341" s="10" t="s">
        <v>751</v>
      </c>
      <c r="E341" s="11" t="s">
        <v>11</v>
      </c>
      <c r="F341" s="11"/>
      <c r="G341" s="11"/>
      <c r="H341" s="14"/>
      <c r="I341" s="14"/>
    </row>
    <row r="342" spans="1:9" ht="25.5" customHeight="1" x14ac:dyDescent="0.35">
      <c r="A342" s="9" t="s">
        <v>752</v>
      </c>
      <c r="B342" s="10" t="s">
        <v>557</v>
      </c>
      <c r="C342" s="10" t="s">
        <v>746</v>
      </c>
      <c r="D342" s="10" t="s">
        <v>753</v>
      </c>
      <c r="E342" s="11" t="s">
        <v>11</v>
      </c>
      <c r="F342" s="11"/>
      <c r="G342" s="11"/>
      <c r="H342" s="14"/>
      <c r="I342" s="14"/>
    </row>
    <row r="343" spans="1:9" ht="25.5" customHeight="1" x14ac:dyDescent="0.35">
      <c r="A343" s="9" t="s">
        <v>754</v>
      </c>
      <c r="B343" s="10" t="s">
        <v>557</v>
      </c>
      <c r="C343" s="10" t="s">
        <v>746</v>
      </c>
      <c r="D343" s="10" t="s">
        <v>755</v>
      </c>
      <c r="E343" s="11" t="s">
        <v>11</v>
      </c>
      <c r="F343" s="11"/>
      <c r="G343" s="11"/>
      <c r="H343" s="14"/>
      <c r="I343" s="14"/>
    </row>
    <row r="344" spans="1:9" ht="25.5" customHeight="1" x14ac:dyDescent="0.35">
      <c r="A344" s="9" t="s">
        <v>756</v>
      </c>
      <c r="B344" s="10" t="s">
        <v>557</v>
      </c>
      <c r="C344" s="10" t="s">
        <v>746</v>
      </c>
      <c r="D344" s="10" t="s">
        <v>757</v>
      </c>
      <c r="E344" s="11" t="s">
        <v>11</v>
      </c>
      <c r="F344" s="11"/>
      <c r="G344" s="11"/>
      <c r="H344" s="14"/>
      <c r="I344" s="14"/>
    </row>
    <row r="345" spans="1:9" ht="25.5" customHeight="1" x14ac:dyDescent="0.35">
      <c r="A345" s="9" t="s">
        <v>758</v>
      </c>
      <c r="B345" s="10" t="s">
        <v>557</v>
      </c>
      <c r="C345" s="10" t="s">
        <v>759</v>
      </c>
      <c r="D345" s="10" t="s">
        <v>760</v>
      </c>
      <c r="E345" s="11" t="s">
        <v>11</v>
      </c>
      <c r="F345" s="11"/>
      <c r="G345" s="11"/>
      <c r="H345" s="14"/>
      <c r="I345" s="14"/>
    </row>
    <row r="346" spans="1:9" ht="25.5" customHeight="1" x14ac:dyDescent="0.35">
      <c r="A346" s="9" t="s">
        <v>761</v>
      </c>
      <c r="B346" s="10" t="s">
        <v>557</v>
      </c>
      <c r="C346" s="10" t="s">
        <v>759</v>
      </c>
      <c r="D346" s="10" t="s">
        <v>762</v>
      </c>
      <c r="E346" s="11" t="s">
        <v>11</v>
      </c>
      <c r="F346" s="11"/>
      <c r="G346" s="11"/>
      <c r="H346" s="14"/>
      <c r="I346" s="14"/>
    </row>
    <row r="347" spans="1:9" ht="25.5" customHeight="1" x14ac:dyDescent="0.35">
      <c r="A347" s="9" t="s">
        <v>763</v>
      </c>
      <c r="B347" s="10" t="s">
        <v>557</v>
      </c>
      <c r="C347" s="10" t="s">
        <v>759</v>
      </c>
      <c r="D347" s="10" t="s">
        <v>764</v>
      </c>
      <c r="E347" s="11" t="s">
        <v>11</v>
      </c>
      <c r="F347" s="11"/>
      <c r="G347" s="11"/>
      <c r="H347" s="14"/>
      <c r="I347" s="14"/>
    </row>
    <row r="348" spans="1:9" ht="25.5" customHeight="1" x14ac:dyDescent="0.35">
      <c r="A348" s="9" t="s">
        <v>765</v>
      </c>
      <c r="B348" s="10" t="s">
        <v>557</v>
      </c>
      <c r="C348" s="10" t="s">
        <v>759</v>
      </c>
      <c r="D348" s="10" t="s">
        <v>766</v>
      </c>
      <c r="E348" s="11" t="s">
        <v>11</v>
      </c>
      <c r="F348" s="11"/>
      <c r="G348" s="11"/>
      <c r="H348" s="14"/>
      <c r="I348" s="14"/>
    </row>
    <row r="349" spans="1:9" ht="25.5" customHeight="1" x14ac:dyDescent="0.35">
      <c r="A349" s="9" t="s">
        <v>767</v>
      </c>
      <c r="B349" s="10" t="s">
        <v>557</v>
      </c>
      <c r="C349" s="10" t="s">
        <v>759</v>
      </c>
      <c r="D349" s="10" t="s">
        <v>768</v>
      </c>
      <c r="E349" s="11" t="s">
        <v>11</v>
      </c>
      <c r="F349" s="11"/>
      <c r="G349" s="11"/>
      <c r="H349" s="14"/>
      <c r="I349" s="14"/>
    </row>
    <row r="350" spans="1:9" ht="25.5" customHeight="1" x14ac:dyDescent="0.35">
      <c r="A350" s="9" t="s">
        <v>769</v>
      </c>
      <c r="B350" s="10" t="s">
        <v>557</v>
      </c>
      <c r="C350" s="10" t="s">
        <v>770</v>
      </c>
      <c r="D350" s="10" t="s">
        <v>771</v>
      </c>
      <c r="E350" s="11" t="s">
        <v>11</v>
      </c>
      <c r="F350" s="11"/>
      <c r="G350" s="11"/>
      <c r="H350" s="14"/>
      <c r="I350" s="14"/>
    </row>
    <row r="351" spans="1:9" ht="25.5" customHeight="1" x14ac:dyDescent="0.35">
      <c r="A351" s="9" t="s">
        <v>772</v>
      </c>
      <c r="B351" s="10" t="s">
        <v>557</v>
      </c>
      <c r="C351" s="10" t="s">
        <v>770</v>
      </c>
      <c r="D351" s="10" t="s">
        <v>773</v>
      </c>
      <c r="E351" s="11" t="s">
        <v>13</v>
      </c>
      <c r="F351" s="11"/>
      <c r="G351" s="11"/>
      <c r="H351" s="14"/>
      <c r="I351" s="14"/>
    </row>
    <row r="352" spans="1:9" ht="25.5" customHeight="1" x14ac:dyDescent="0.35">
      <c r="A352" s="9" t="s">
        <v>774</v>
      </c>
      <c r="B352" s="10" t="s">
        <v>557</v>
      </c>
      <c r="C352" s="10" t="s">
        <v>770</v>
      </c>
      <c r="D352" s="10" t="s">
        <v>775</v>
      </c>
      <c r="E352" s="11" t="s">
        <v>11</v>
      </c>
      <c r="F352" s="11"/>
      <c r="G352" s="11"/>
      <c r="H352" s="14"/>
      <c r="I352" s="14"/>
    </row>
    <row r="353" spans="1:9" ht="25.5" customHeight="1" x14ac:dyDescent="0.35">
      <c r="A353" s="9" t="s">
        <v>776</v>
      </c>
      <c r="B353" s="10" t="s">
        <v>557</v>
      </c>
      <c r="C353" s="10" t="s">
        <v>770</v>
      </c>
      <c r="D353" s="10" t="s">
        <v>777</v>
      </c>
      <c r="E353" s="11" t="s">
        <v>11</v>
      </c>
      <c r="F353" s="11"/>
      <c r="G353" s="11"/>
      <c r="H353" s="14"/>
      <c r="I353" s="14"/>
    </row>
    <row r="354" spans="1:9" ht="25.5" customHeight="1" x14ac:dyDescent="0.35">
      <c r="A354" s="9" t="s">
        <v>778</v>
      </c>
      <c r="B354" s="10" t="s">
        <v>557</v>
      </c>
      <c r="C354" s="10" t="s">
        <v>770</v>
      </c>
      <c r="D354" s="10" t="s">
        <v>779</v>
      </c>
      <c r="E354" s="11" t="s">
        <v>13</v>
      </c>
      <c r="F354" s="11"/>
      <c r="G354" s="11"/>
      <c r="H354" s="14"/>
      <c r="I354" s="14"/>
    </row>
    <row r="355" spans="1:9" ht="25.5" customHeight="1" x14ac:dyDescent="0.35">
      <c r="A355" s="9" t="s">
        <v>780</v>
      </c>
      <c r="B355" s="10" t="s">
        <v>557</v>
      </c>
      <c r="C355" s="10" t="s">
        <v>770</v>
      </c>
      <c r="D355" s="10" t="s">
        <v>781</v>
      </c>
      <c r="E355" s="11" t="s">
        <v>11</v>
      </c>
      <c r="F355" s="11"/>
      <c r="G355" s="11"/>
      <c r="H355" s="14"/>
      <c r="I355" s="14"/>
    </row>
    <row r="356" spans="1:9" ht="25.5" customHeight="1" x14ac:dyDescent="0.35">
      <c r="A356" s="9" t="s">
        <v>782</v>
      </c>
      <c r="B356" s="10" t="s">
        <v>557</v>
      </c>
      <c r="C356" s="10" t="s">
        <v>783</v>
      </c>
      <c r="D356" s="10" t="s">
        <v>784</v>
      </c>
      <c r="E356" s="11" t="s">
        <v>15</v>
      </c>
      <c r="F356" s="11"/>
      <c r="G356" s="11"/>
      <c r="H356" s="14"/>
      <c r="I356" s="14"/>
    </row>
    <row r="357" spans="1:9" ht="25.5" customHeight="1" x14ac:dyDescent="0.35">
      <c r="A357" s="9" t="s">
        <v>785</v>
      </c>
      <c r="B357" s="10" t="s">
        <v>557</v>
      </c>
      <c r="C357" s="10" t="s">
        <v>783</v>
      </c>
      <c r="D357" s="10" t="s">
        <v>786</v>
      </c>
      <c r="E357" s="11" t="s">
        <v>13</v>
      </c>
      <c r="F357" s="11"/>
      <c r="G357" s="11"/>
      <c r="H357" s="14"/>
      <c r="I357" s="14"/>
    </row>
    <row r="358" spans="1:9" ht="25.5" customHeight="1" x14ac:dyDescent="0.35">
      <c r="A358" s="9" t="s">
        <v>787</v>
      </c>
      <c r="B358" s="10" t="s">
        <v>557</v>
      </c>
      <c r="C358" s="10" t="s">
        <v>783</v>
      </c>
      <c r="D358" s="10" t="s">
        <v>788</v>
      </c>
      <c r="E358" s="11" t="s">
        <v>13</v>
      </c>
      <c r="F358" s="11"/>
      <c r="G358" s="11"/>
      <c r="H358" s="14"/>
      <c r="I358" s="14"/>
    </row>
    <row r="359" spans="1:9" ht="25.5" customHeight="1" x14ac:dyDescent="0.35">
      <c r="A359" s="9" t="s">
        <v>789</v>
      </c>
      <c r="B359" s="10" t="s">
        <v>557</v>
      </c>
      <c r="C359" s="10" t="s">
        <v>783</v>
      </c>
      <c r="D359" s="10" t="s">
        <v>790</v>
      </c>
      <c r="E359" s="11" t="s">
        <v>13</v>
      </c>
      <c r="F359" s="11"/>
      <c r="G359" s="11"/>
      <c r="H359" s="14"/>
      <c r="I359" s="14"/>
    </row>
    <row r="360" spans="1:9" ht="25.5" customHeight="1" x14ac:dyDescent="0.35">
      <c r="A360" s="9" t="s">
        <v>791</v>
      </c>
      <c r="B360" s="10" t="s">
        <v>557</v>
      </c>
      <c r="C360" s="10" t="s">
        <v>783</v>
      </c>
      <c r="D360" s="10" t="s">
        <v>792</v>
      </c>
      <c r="E360" s="11" t="s">
        <v>13</v>
      </c>
      <c r="F360" s="11"/>
      <c r="G360" s="11"/>
      <c r="H360" s="14"/>
      <c r="I360" s="14"/>
    </row>
    <row r="361" spans="1:9" ht="25.5" customHeight="1" x14ac:dyDescent="0.35">
      <c r="A361" s="9" t="s">
        <v>793</v>
      </c>
      <c r="B361" s="10" t="s">
        <v>557</v>
      </c>
      <c r="C361" s="10" t="s">
        <v>783</v>
      </c>
      <c r="D361" s="10" t="s">
        <v>794</v>
      </c>
      <c r="E361" s="11" t="s">
        <v>13</v>
      </c>
      <c r="F361" s="11"/>
      <c r="G361" s="11"/>
      <c r="H361" s="14"/>
      <c r="I361" s="14"/>
    </row>
  </sheetData>
  <dataValidations count="3">
    <dataValidation type="list" allowBlank="1" sqref="E4:E361" xr:uid="{00000000-0002-0000-0100-000000000000}">
      <formula1>"AUTO,ASSIST,HUMAN"</formula1>
      <formula2>0</formula2>
    </dataValidation>
    <dataValidation type="list" allowBlank="1" sqref="F4:F361" xr:uid="{00000000-0002-0000-0100-000001000000}">
      <formula1>"Pass,Fail,N/A,Not Checked"</formula1>
      <formula2>0</formula2>
    </dataValidation>
    <dataValidation type="list" allowBlank="1" sqref="G4:G361" xr:uid="{00000000-0002-0000-0100-000002000000}">
      <formula1>"High,Low"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2"/>
  <sheetViews>
    <sheetView showGridLines="0" zoomScaleNormal="100" workbookViewId="0"/>
  </sheetViews>
  <sheetFormatPr defaultColWidth="8.6328125" defaultRowHeight="14.5" x14ac:dyDescent="0.35"/>
  <cols>
    <col min="1" max="1" width="46" customWidth="1"/>
    <col min="2" max="5" width="9" customWidth="1"/>
    <col min="6" max="6" width="12" customWidth="1"/>
    <col min="7" max="7" width="10" customWidth="1"/>
    <col min="8" max="8" width="12" customWidth="1"/>
  </cols>
  <sheetData>
    <row r="1" spans="1:8" ht="18" x14ac:dyDescent="0.4">
      <c r="A1" s="2" t="s">
        <v>795</v>
      </c>
    </row>
    <row r="3" spans="1:8" x14ac:dyDescent="0.35">
      <c r="A3" s="8" t="s">
        <v>796</v>
      </c>
      <c r="B3" s="8" t="s">
        <v>797</v>
      </c>
      <c r="C3" s="8" t="s">
        <v>18</v>
      </c>
      <c r="D3" s="8" t="s">
        <v>20</v>
      </c>
      <c r="E3" s="8" t="s">
        <v>22</v>
      </c>
      <c r="F3" s="8" t="s">
        <v>24</v>
      </c>
      <c r="G3" s="8" t="s">
        <v>798</v>
      </c>
      <c r="H3" s="8" t="s">
        <v>799</v>
      </c>
    </row>
    <row r="4" spans="1:8" x14ac:dyDescent="0.35">
      <c r="A4" s="15" t="s">
        <v>800</v>
      </c>
      <c r="B4" s="9">
        <f>COUNTIF('AI Check Register'!$B$4:$B$361,"Part A*")</f>
        <v>113</v>
      </c>
      <c r="C4" s="9">
        <f>COUNTIFS('AI Check Register'!$B$4:$B$361,"Part A*",'AI Check Register'!$F$4:$F$361,"Pass")</f>
        <v>1</v>
      </c>
      <c r="D4" s="9">
        <f>COUNTIFS('AI Check Register'!$B$4:$B$361,"Part A*",'AI Check Register'!$F$4:$F$361,"Fail")</f>
        <v>0</v>
      </c>
      <c r="E4" s="9">
        <f>COUNTIFS('AI Check Register'!$B$4:$B$361,"Part A*",'AI Check Register'!$F$4:$F$361,"N/A")</f>
        <v>0</v>
      </c>
      <c r="F4" s="9">
        <f>COUNTIFS('AI Check Register'!$B$4:$B$361,"Part A*",'AI Check Register'!$F$4:$F$361,"Not Checked")</f>
        <v>0</v>
      </c>
      <c r="G4" s="9">
        <f t="shared" ref="G4:G10" si="0">B4-SUM(C4:F4)</f>
        <v>112</v>
      </c>
      <c r="H4" s="16">
        <f t="shared" ref="H4:H10" si="1">IF(B4=0,0,SUM(C4:F4)/B4)</f>
        <v>8.8495575221238937E-3</v>
      </c>
    </row>
    <row r="5" spans="1:8" x14ac:dyDescent="0.35">
      <c r="A5" s="15" t="s">
        <v>801</v>
      </c>
      <c r="B5" s="9">
        <f>COUNTIF('AI Check Register'!$B$4:$B$361,"Part B*")</f>
        <v>133</v>
      </c>
      <c r="C5" s="9">
        <f>COUNTIFS('AI Check Register'!$B$4:$B$361,"Part B*",'AI Check Register'!$F$4:$F$361,"Pass")</f>
        <v>0</v>
      </c>
      <c r="D5" s="9">
        <f>COUNTIFS('AI Check Register'!$B$4:$B$361,"Part B*",'AI Check Register'!$F$4:$F$361,"Fail")</f>
        <v>0</v>
      </c>
      <c r="E5" s="9">
        <f>COUNTIFS('AI Check Register'!$B$4:$B$361,"Part B*",'AI Check Register'!$F$4:$F$361,"N/A")</f>
        <v>0</v>
      </c>
      <c r="F5" s="9">
        <f>COUNTIFS('AI Check Register'!$B$4:$B$361,"Part B*",'AI Check Register'!$F$4:$F$361,"Not Checked")</f>
        <v>0</v>
      </c>
      <c r="G5" s="9">
        <f t="shared" si="0"/>
        <v>133</v>
      </c>
      <c r="H5" s="16">
        <f t="shared" si="1"/>
        <v>0</v>
      </c>
    </row>
    <row r="6" spans="1:8" x14ac:dyDescent="0.35">
      <c r="A6" s="15" t="s">
        <v>802</v>
      </c>
      <c r="B6" s="9">
        <f>COUNTIF('AI Check Register'!$B$4:$B$361,"Part C*")</f>
        <v>112</v>
      </c>
      <c r="C6" s="9">
        <f>COUNTIFS('AI Check Register'!$B$4:$B$361,"Part C*",'AI Check Register'!$F$4:$F$361,"Pass")</f>
        <v>0</v>
      </c>
      <c r="D6" s="9">
        <f>COUNTIFS('AI Check Register'!$B$4:$B$361,"Part C*",'AI Check Register'!$F$4:$F$361,"Fail")</f>
        <v>0</v>
      </c>
      <c r="E6" s="9">
        <f>COUNTIFS('AI Check Register'!$B$4:$B$361,"Part C*",'AI Check Register'!$F$4:$F$361,"N/A")</f>
        <v>0</v>
      </c>
      <c r="F6" s="9">
        <f>COUNTIFS('AI Check Register'!$B$4:$B$361,"Part C*",'AI Check Register'!$F$4:$F$361,"Not Checked")</f>
        <v>0</v>
      </c>
      <c r="G6" s="9">
        <f t="shared" si="0"/>
        <v>112</v>
      </c>
      <c r="H6" s="16">
        <f t="shared" si="1"/>
        <v>0</v>
      </c>
    </row>
    <row r="7" spans="1:8" x14ac:dyDescent="0.35">
      <c r="A7" s="15" t="s">
        <v>803</v>
      </c>
      <c r="B7" s="9">
        <f>COUNTIF('AI Check Register'!$E$4:$E$361,"AUTO")</f>
        <v>83</v>
      </c>
      <c r="C7" s="9">
        <f>COUNTIFS('AI Check Register'!$E$4:$E$361,"AUTO",'AI Check Register'!$F$4:$F$361,"Pass")</f>
        <v>0</v>
      </c>
      <c r="D7" s="9">
        <f>COUNTIFS('AI Check Register'!$E$4:$E$361,"AUTO",'AI Check Register'!$F$4:$F$361,"Fail")</f>
        <v>0</v>
      </c>
      <c r="E7" s="9">
        <f>COUNTIFS('AI Check Register'!$E$4:$E$361,"AUTO",'AI Check Register'!$F$4:$F$361,"N/A")</f>
        <v>0</v>
      </c>
      <c r="F7" s="9">
        <f>COUNTIFS('AI Check Register'!$E$4:$E$361,"AUTO",'AI Check Register'!$F$4:$F$361,"Not Checked")</f>
        <v>0</v>
      </c>
      <c r="G7" s="9">
        <f t="shared" si="0"/>
        <v>83</v>
      </c>
      <c r="H7" s="16">
        <f t="shared" si="1"/>
        <v>0</v>
      </c>
    </row>
    <row r="8" spans="1:8" x14ac:dyDescent="0.35">
      <c r="A8" s="15" t="s">
        <v>804</v>
      </c>
      <c r="B8" s="9">
        <f>COUNTIF('AI Check Register'!$E$4:$E$361,"ASSIST")</f>
        <v>226</v>
      </c>
      <c r="C8" s="9">
        <f>COUNTIFS('AI Check Register'!$E$4:$E$361,"ASSIST",'AI Check Register'!$F$4:$F$361,"Pass")</f>
        <v>1</v>
      </c>
      <c r="D8" s="9">
        <f>COUNTIFS('AI Check Register'!$E$4:$E$361,"ASSIST",'AI Check Register'!$F$4:$F$361,"Fail")</f>
        <v>0</v>
      </c>
      <c r="E8" s="9">
        <f>COUNTIFS('AI Check Register'!$E$4:$E$361,"ASSIST",'AI Check Register'!$F$4:$F$361,"N/A")</f>
        <v>0</v>
      </c>
      <c r="F8" s="9">
        <f>COUNTIFS('AI Check Register'!$E$4:$E$361,"ASSIST",'AI Check Register'!$F$4:$F$361,"Not Checked")</f>
        <v>0</v>
      </c>
      <c r="G8" s="9">
        <f t="shared" si="0"/>
        <v>225</v>
      </c>
      <c r="H8" s="16">
        <f t="shared" si="1"/>
        <v>4.4247787610619468E-3</v>
      </c>
    </row>
    <row r="9" spans="1:8" x14ac:dyDescent="0.35">
      <c r="A9" s="15" t="s">
        <v>805</v>
      </c>
      <c r="B9" s="9">
        <f>COUNTIF('AI Check Register'!$E$4:$E$361,"HUMAN")</f>
        <v>49</v>
      </c>
      <c r="C9" s="9">
        <f>COUNTIFS('AI Check Register'!$E$4:$E$361,"HUMAN",'AI Check Register'!$F$4:$F$361,"Pass")</f>
        <v>0</v>
      </c>
      <c r="D9" s="9">
        <f>COUNTIFS('AI Check Register'!$E$4:$E$361,"HUMAN",'AI Check Register'!$F$4:$F$361,"Fail")</f>
        <v>0</v>
      </c>
      <c r="E9" s="9">
        <f>COUNTIFS('AI Check Register'!$E$4:$E$361,"HUMAN",'AI Check Register'!$F$4:$F$361,"N/A")</f>
        <v>0</v>
      </c>
      <c r="F9" s="9">
        <f>COUNTIFS('AI Check Register'!$E$4:$E$361,"HUMAN",'AI Check Register'!$F$4:$F$361,"Not Checked")</f>
        <v>0</v>
      </c>
      <c r="G9" s="9">
        <f t="shared" si="0"/>
        <v>49</v>
      </c>
      <c r="H9" s="16">
        <f t="shared" si="1"/>
        <v>0</v>
      </c>
    </row>
    <row r="10" spans="1:8" x14ac:dyDescent="0.35">
      <c r="A10" s="17" t="s">
        <v>806</v>
      </c>
      <c r="B10" s="18">
        <f>SUM(B4:B6)</f>
        <v>358</v>
      </c>
      <c r="C10" s="18">
        <f>SUM(C4:C6)</f>
        <v>1</v>
      </c>
      <c r="D10" s="18">
        <f>SUM(D4:D6)</f>
        <v>0</v>
      </c>
      <c r="E10" s="18">
        <f>SUM(E4:E6)</f>
        <v>0</v>
      </c>
      <c r="F10" s="18">
        <f>SUM(F4:F6)</f>
        <v>0</v>
      </c>
      <c r="G10" s="18">
        <f t="shared" si="0"/>
        <v>357</v>
      </c>
      <c r="H10" s="19">
        <f t="shared" si="1"/>
        <v>2.7932960893854749E-3</v>
      </c>
    </row>
    <row r="12" spans="1:8" ht="39.75" customHeight="1" x14ac:dyDescent="0.35">
      <c r="A12" s="1" t="s">
        <v>807</v>
      </c>
      <c r="B12" s="1"/>
      <c r="C12" s="1"/>
      <c r="D12" s="1"/>
      <c r="E12" s="1"/>
      <c r="F12" s="1"/>
      <c r="G12" s="1"/>
      <c r="H12" s="1"/>
    </row>
  </sheetData>
  <mergeCells count="1">
    <mergeCell ref="A12:H1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Cover</vt:lpstr>
      <vt:lpstr>AI Check Register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Mohammed Tanzeem Agra</cp:lastModifiedBy>
  <cp:revision>0</cp:revision>
  <dcterms:created xsi:type="dcterms:W3CDTF">2026-07-10T09:23:40Z</dcterms:created>
  <dcterms:modified xsi:type="dcterms:W3CDTF">2026-07-23T05:20:36Z</dcterms:modified>
  <dc:language>en-US</dc:language>
</cp:coreProperties>
</file>