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7"/>
  <workbookPr codeName="ThisWorkbook" defaultThemeVersion="166925"/>
  <mc:AlternateContent xmlns:mc="http://schemas.openxmlformats.org/markup-compatibility/2006">
    <mc:Choice Requires="x15">
      <x15ac:absPath xmlns:x15ac="http://schemas.microsoft.com/office/spreadsheetml/2010/11/ac" url="https://rejlerssverige.sharepoint.com/sites/TeamAD-QAQC-QHSE_Documentation/Delade dokument/QHSE_Documentation/QHSE Project Database/"/>
    </mc:Choice>
  </mc:AlternateContent>
  <xr:revisionPtr revIDLastSave="1065" documentId="13_ncr:1_{00C4FDB7-FFF8-4C78-9FA7-72B1EB02AF15}" xr6:coauthVersionLast="47" xr6:coauthVersionMax="47" xr10:uidLastSave="{E6714A8E-962D-44BF-B025-12CC2EC01DAC}"/>
  <bookViews>
    <workbookView xWindow="-120" yWindow="-120" windowWidth="29040" windowHeight="15720" xr2:uid="{61E456C3-2F86-4716-84CB-F5AFC8DC64BB}"/>
  </bookViews>
  <sheets>
    <sheet name="QHSE _Running Project Status " sheetId="2" r:id="rId1"/>
    <sheet name="Document Controller" sheetId="5" state="hidden" r:id="rId2"/>
    <sheet name="Sheet3" sheetId="6" state="hidden" r:id="rId3"/>
    <sheet name="Sheet2" sheetId="4" state="hidden" r:id="rId4"/>
    <sheet name="sht1" sheetId="1" state="hidden" r:id="rId5"/>
    <sheet name="Sheet1" sheetId="3" state="hidden" r:id="rId6"/>
  </sheets>
  <definedNames>
    <definedName name="_xlnm._FilterDatabase" localSheetId="1" hidden="1">'Document Controller'!$A$1:$F$62</definedName>
    <definedName name="_xlnm._FilterDatabase" localSheetId="0" hidden="1">'QHSE _Running Project Status '!$A$3:$AI$52</definedName>
    <definedName name="_xlnm._FilterDatabase" localSheetId="2" hidden="1">Sheet3!$B$3:$Y$3</definedName>
    <definedName name="_xlnm._FilterDatabase" localSheetId="4" hidden="1">'sht1'!$A$7:$R$37</definedName>
    <definedName name="_xlnm.Print_Area" localSheetId="0">'QHSE _Running Project Status '!$A$1:$AI$52</definedName>
    <definedName name="_xlnm.Print_Area" localSheetId="4">'sht1'!$A$1:$V$44</definedName>
    <definedName name="_xlnm.Print_Titles" localSheetId="0">'QHSE _Running Project Status '!$1:$4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1" i="2" l="1"/>
  <c r="AA9" i="2"/>
  <c r="AB9" i="2"/>
  <c r="AC6" i="2"/>
  <c r="V40" i="2"/>
  <c r="AA26" i="2"/>
  <c r="Z26" i="2"/>
  <c r="AB26" i="2"/>
  <c r="AB24" i="2"/>
  <c r="AA20" i="2"/>
  <c r="AA17" i="2" l="1"/>
  <c r="AB17" i="2"/>
  <c r="Z35" i="2" l="1"/>
  <c r="AA35" i="2"/>
  <c r="AA36" i="2"/>
  <c r="V37" i="2"/>
  <c r="V41" i="2"/>
  <c r="AA34" i="2" l="1"/>
  <c r="X34" i="2"/>
  <c r="M6" i="2"/>
  <c r="M5" i="2"/>
  <c r="AC5" i="2"/>
  <c r="AA32" i="2"/>
  <c r="L41" i="2"/>
  <c r="M41" i="2"/>
  <c r="AA27" i="2"/>
  <c r="AA21" i="2"/>
  <c r="AA25" i="2"/>
  <c r="AB12" i="2"/>
  <c r="W13" i="2"/>
  <c r="Z13" i="2"/>
  <c r="AB6" i="2"/>
  <c r="AC27" i="2"/>
  <c r="AC31" i="2"/>
  <c r="AC7" i="2"/>
  <c r="AC13" i="2"/>
  <c r="AC17" i="2"/>
  <c r="AC20" i="2"/>
  <c r="AC25" i="2"/>
  <c r="L40" i="2" l="1"/>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L5" i="2" l="1"/>
  <c r="Y6" i="2" l="1"/>
  <c r="AB5" i="2"/>
  <c r="N16" i="4" l="1"/>
  <c r="M16" i="4"/>
  <c r="L16" i="4"/>
  <c r="M14" i="4"/>
  <c r="L14" i="4"/>
</calcChain>
</file>

<file path=xl/sharedStrings.xml><?xml version="1.0" encoding="utf-8"?>
<sst xmlns="http://schemas.openxmlformats.org/spreadsheetml/2006/main" count="1171" uniqueCount="601">
  <si>
    <t xml:space="preserve">QHSE  Project Database </t>
  </si>
  <si>
    <t>Last Updated date: 15 Dec 2025</t>
  </si>
  <si>
    <t xml:space="preserve">Legends Colour - Gray - Standard Informations, Blue - Quality Specific, Orange - Reporting   </t>
  </si>
  <si>
    <t>Sr No</t>
  </si>
  <si>
    <t>Project No</t>
  </si>
  <si>
    <t>Project Title</t>
  </si>
  <si>
    <t>CLIENT</t>
  </si>
  <si>
    <t>Project Manager</t>
  </si>
  <si>
    <t xml:space="preserve">Project Starting Date </t>
  </si>
  <si>
    <t xml:space="preserve">Project Closing Date </t>
  </si>
  <si>
    <t xml:space="preserve">Project Extension </t>
  </si>
  <si>
    <t xml:space="preserve">Project Quality Engineer </t>
  </si>
  <si>
    <t>Manhours for Quality</t>
  </si>
  <si>
    <t>Manhours Used</t>
  </si>
  <si>
    <t xml:space="preserve">Manhours Balance </t>
  </si>
  <si>
    <t xml:space="preserve">Quality Billability                       % </t>
  </si>
  <si>
    <t xml:space="preserve">Project Quality Plan status - Rev   </t>
  </si>
  <si>
    <t xml:space="preserve">Project Quality Plan status -                     Issued Date  </t>
  </si>
  <si>
    <t xml:space="preserve">Project Audit -1  </t>
  </si>
  <si>
    <t xml:space="preserve">Project Audit -2  </t>
  </si>
  <si>
    <t xml:space="preserve">Project Audit -3  </t>
  </si>
  <si>
    <t xml:space="preserve">Project Audit -4  </t>
  </si>
  <si>
    <t xml:space="preserve">Client Audit -1 </t>
  </si>
  <si>
    <t xml:space="preserve">Client Audit -2 </t>
  </si>
  <si>
    <t xml:space="preserve">Delay in Audits - No. of Days </t>
  </si>
  <si>
    <t xml:space="preserve">CARs Open </t>
  </si>
  <si>
    <t xml:space="preserve">CARs Delayed closing            No. days  </t>
  </si>
  <si>
    <t>CARs Closed</t>
  </si>
  <si>
    <t>No. of Obs Open</t>
  </si>
  <si>
    <t>Obs delayed closing  No. of Days</t>
  </si>
  <si>
    <t>Obs Closed</t>
  </si>
  <si>
    <t>Project KPIs Achieved   %</t>
  </si>
  <si>
    <t>Project Compl.   %</t>
  </si>
  <si>
    <t>Rejection of Deliverables %</t>
  </si>
  <si>
    <t>Cost of Poor Quality in AED</t>
  </si>
  <si>
    <t>Remarks</t>
  </si>
  <si>
    <t>FEED + Engineering &amp; Procurement 
Services and Construction Management 
(EPCM) for Grid Power Integration Project  
Das Island</t>
  </si>
  <si>
    <t>ADNOC GAS</t>
  </si>
  <si>
    <t>Pankaj Kumar</t>
  </si>
  <si>
    <t>27.11.2023</t>
  </si>
  <si>
    <t>27.11.2026</t>
  </si>
  <si>
    <t>Rajasekhar</t>
  </si>
  <si>
    <t>Rev. 1</t>
  </si>
  <si>
    <t xml:space="preserve"> 17.09.2024</t>
  </si>
  <si>
    <t>20.03.2024</t>
  </si>
  <si>
    <t>11.09.2024</t>
  </si>
  <si>
    <t>21.10.2024</t>
  </si>
  <si>
    <t>Lastest KPI : Sep 2024</t>
  </si>
  <si>
    <t>HABSHAN &amp; BAB TELECOM SYSTEMS UPGRADE PROJECT</t>
  </si>
  <si>
    <t>Pravin Kumar</t>
  </si>
  <si>
    <t>05.01.2024</t>
  </si>
  <si>
    <t>05.01.2025</t>
  </si>
  <si>
    <t>18.01.2025</t>
  </si>
  <si>
    <t xml:space="preserve">Rev. A </t>
  </si>
  <si>
    <t>03.04.2024</t>
  </si>
  <si>
    <t>23.05.2024</t>
  </si>
  <si>
    <t>08.08.2024</t>
  </si>
  <si>
    <t>05.11.2024</t>
  </si>
  <si>
    <t>19.01.2024</t>
  </si>
  <si>
    <t>21.08.2024</t>
  </si>
  <si>
    <r>
      <rPr>
        <sz val="11"/>
        <color rgb="FFFF0000"/>
        <rFont val="Arial"/>
        <family val="2"/>
      </rPr>
      <t>The contractual project completion date of 15-January-2025  is expired.</t>
    </r>
    <r>
      <rPr>
        <sz val="11"/>
        <color theme="1"/>
        <rFont val="Arial"/>
        <family val="2"/>
      </rPr>
      <t xml:space="preserve">  Lastest KPI : Mar 2025</t>
    </r>
  </si>
  <si>
    <t>Details Engineering for KEZAD Gas Network Phase 3</t>
  </si>
  <si>
    <t>Al Fanar &amp; Abu Dhabi Ports - KEZAD</t>
  </si>
  <si>
    <t xml:space="preserve">Muddaser
</t>
  </si>
  <si>
    <t>11.03.2024</t>
  </si>
  <si>
    <t>12.08.2024</t>
  </si>
  <si>
    <t>Rev. 2</t>
  </si>
  <si>
    <t xml:space="preserve"> 23.05.2024</t>
  </si>
  <si>
    <t>16.05.2024</t>
  </si>
  <si>
    <r>
      <rPr>
        <sz val="11"/>
        <color rgb="FFFF0000"/>
        <rFont val="Arial"/>
        <family val="2"/>
      </rPr>
      <t xml:space="preserve">Project Closing Date  is expired and client extention date was not recived.  </t>
    </r>
    <r>
      <rPr>
        <sz val="11"/>
        <color theme="1"/>
        <rFont val="Arial"/>
        <family val="2"/>
      </rPr>
      <t xml:space="preserve"> Lastest KPI : Mar 2025</t>
    </r>
  </si>
  <si>
    <t>Migration of AVEVA Models to Smart Plant</t>
  </si>
  <si>
    <t>Praveen Yeledahalli</t>
  </si>
  <si>
    <t>08.04.2024</t>
  </si>
  <si>
    <t>08.04.2026</t>
  </si>
  <si>
    <t>Rev. 0</t>
  </si>
  <si>
    <t>16.10.2024</t>
  </si>
  <si>
    <t>11.02.2025</t>
  </si>
  <si>
    <t xml:space="preserve"> Debottlenecking of Steam Condensate System in Habshan – 5</t>
  </si>
  <si>
    <t>16.01.2025</t>
  </si>
  <si>
    <t>31.10.2025</t>
  </si>
  <si>
    <t>Ravikumar</t>
  </si>
  <si>
    <t>27.09.2024</t>
  </si>
  <si>
    <t>23.07.2025</t>
  </si>
  <si>
    <t>12.11.2025</t>
  </si>
  <si>
    <t>Lastest KPI : Mar 2025</t>
  </si>
  <si>
    <t>FALCOR Battery Systems DAS Island Project</t>
  </si>
  <si>
    <t>Falcor/ ADNOC OFFSHORE</t>
  </si>
  <si>
    <t>15.08.2023</t>
  </si>
  <si>
    <t>14.04.2024</t>
  </si>
  <si>
    <t>30.06.2025</t>
  </si>
  <si>
    <t xml:space="preserve"> 01.09.2023</t>
  </si>
  <si>
    <t>30.Jan.24</t>
  </si>
  <si>
    <t>23.Aug.24</t>
  </si>
  <si>
    <t>18.Apr.25</t>
  </si>
  <si>
    <r>
      <rPr>
        <sz val="11"/>
        <color rgb="FFFF0000"/>
        <rFont val="Arial"/>
        <family val="2"/>
      </rPr>
      <t xml:space="preserve">Extension is expired.     </t>
    </r>
    <r>
      <rPr>
        <sz val="11"/>
        <color rgb="FF000000"/>
        <rFont val="Arial"/>
        <family val="2"/>
      </rPr>
      <t xml:space="preserve"> Lastest KPI : Mar 2025</t>
    </r>
  </si>
  <si>
    <t xml:space="preserve">FEED for Upgrade of Train 1 &amp; 2 Fire and Gas Detection System &amp; F&amp;G Mapping Study for LNG and ASR Trains </t>
  </si>
  <si>
    <t>12.10.2023</t>
  </si>
  <si>
    <t>11.10.2024</t>
  </si>
  <si>
    <t>27.03.2025</t>
  </si>
  <si>
    <t xml:space="preserve"> 11.12.2023</t>
  </si>
  <si>
    <r>
      <rPr>
        <sz val="11"/>
        <color rgb="FFFF0000"/>
        <rFont val="Arial"/>
        <family val="2"/>
      </rPr>
      <t xml:space="preserve">Extension is expired.     </t>
    </r>
    <r>
      <rPr>
        <sz val="11"/>
        <color theme="1"/>
        <rFont val="Arial"/>
        <family val="2"/>
      </rPr>
      <t xml:space="preserve"> Lastest KPI : Mar 2025</t>
    </r>
  </si>
  <si>
    <t>Operator Shelter Improvement Project</t>
  </si>
  <si>
    <t>ADNOC Refining</t>
  </si>
  <si>
    <t>Ossi Valto</t>
  </si>
  <si>
    <t>08.05.2024</t>
  </si>
  <si>
    <t>30.10.2024</t>
  </si>
  <si>
    <t>30.10.2025</t>
  </si>
  <si>
    <t>26.06.2024</t>
  </si>
  <si>
    <t>09.08.2024</t>
  </si>
  <si>
    <t>24.09.2024</t>
  </si>
  <si>
    <t>Ruwais NGL Train-3 Fire &amp; Gas Detection Mapping Implementation</t>
  </si>
  <si>
    <t>ISCCO / ADNOC GAS</t>
  </si>
  <si>
    <t>05.06.2024</t>
  </si>
  <si>
    <t>05.12.2024</t>
  </si>
  <si>
    <t>16.12.2024</t>
  </si>
  <si>
    <t>27.08.2024</t>
  </si>
  <si>
    <t>06.09.2024</t>
  </si>
  <si>
    <t>23.10.2024</t>
  </si>
  <si>
    <t>15.09.2024</t>
  </si>
  <si>
    <t>29.10.2024</t>
  </si>
  <si>
    <r>
      <t xml:space="preserve">Client Audit -3: 08.01.2025 </t>
    </r>
    <r>
      <rPr>
        <sz val="11"/>
        <color rgb="FFFF0000"/>
        <rFont val="Arial"/>
        <family val="2"/>
      </rPr>
      <t xml:space="preserve">Extension is expired.      </t>
    </r>
    <r>
      <rPr>
        <sz val="11"/>
        <color theme="1"/>
        <rFont val="Arial"/>
        <family val="2"/>
      </rPr>
      <t xml:space="preserve"> Lastest KPI : Nov 2024 Project Control Engineer is saying that the project is closed but documents are still rivewed by the client</t>
    </r>
  </si>
  <si>
    <t xml:space="preserve"> FEED for C&amp;F Instrument Air Piping Network Replacement / Upgrade at DAS island</t>
  </si>
  <si>
    <t>ADNOC OFFSHORE</t>
  </si>
  <si>
    <t>03.06.2024</t>
  </si>
  <si>
    <t>03.03.2025</t>
  </si>
  <si>
    <t>15.05.2025</t>
  </si>
  <si>
    <t>Rev. 3</t>
  </si>
  <si>
    <t>26.09.2024</t>
  </si>
  <si>
    <t>19.08.2024</t>
  </si>
  <si>
    <t>02.10.2024</t>
  </si>
  <si>
    <t>22.11.2024</t>
  </si>
  <si>
    <t>24.01.2025</t>
  </si>
  <si>
    <t>PROJECT COMPLETED</t>
  </si>
  <si>
    <t>Residue Yield Improvement Project</t>
  </si>
  <si>
    <t>10.06.2024</t>
  </si>
  <si>
    <t>26.11.2025</t>
  </si>
  <si>
    <t>19.12.2024</t>
  </si>
  <si>
    <t>22.04.2025</t>
  </si>
  <si>
    <t>Lastest KPI : July 2025</t>
  </si>
  <si>
    <t>Upgradation works at AL AIN MP Depot and RAK Depot</t>
  </si>
  <si>
    <t>ADNOC DISTRIBUTION</t>
  </si>
  <si>
    <t>15.07.2024</t>
  </si>
  <si>
    <t>21.11.2024</t>
  </si>
  <si>
    <t>25.05.2025</t>
  </si>
  <si>
    <t xml:space="preserve"> 14.11.2024</t>
  </si>
  <si>
    <t>09.09.2024</t>
  </si>
  <si>
    <t>FEED Project – BAB MISCELLANEOUS WORKS – PACKAGE 1</t>
  </si>
  <si>
    <t>ADNOC ONSHORE</t>
  </si>
  <si>
    <t>26.02.2025</t>
  </si>
  <si>
    <t xml:space="preserve">30.09.2025 </t>
  </si>
  <si>
    <t xml:space="preserve"> 09.01.2025</t>
  </si>
  <si>
    <t>07.01.2025</t>
  </si>
  <si>
    <t>28.03.2025</t>
  </si>
  <si>
    <t>10.06.2025</t>
  </si>
  <si>
    <t>Lastest KPI : Jun 2025</t>
  </si>
  <si>
    <t>TRAIN 3 DECOUPLING MODIFICATIONS (APS)</t>
  </si>
  <si>
    <t>ADVANCED PETRO SERVICES / ADNOC GAS</t>
  </si>
  <si>
    <t>02.09.2024</t>
  </si>
  <si>
    <t>02.12.2024</t>
  </si>
  <si>
    <t xml:space="preserve"> 06.12.2024</t>
  </si>
  <si>
    <t>LASER SCAN AND PROVISION OF FULL INTELLIGENT 3D MODELS FOR DAS ISLAND</t>
  </si>
  <si>
    <t>16.08.2024</t>
  </si>
  <si>
    <t>16.02.2027</t>
  </si>
  <si>
    <t>17.09.2024</t>
  </si>
  <si>
    <t>Demolition of Tanks at Madinat Zayed Depot &amp; RAK Depot</t>
  </si>
  <si>
    <t>30.09.2024</t>
  </si>
  <si>
    <t>12.09.2025</t>
  </si>
  <si>
    <t xml:space="preserve"> 11.12.2024</t>
  </si>
  <si>
    <t>06.12.2024</t>
  </si>
  <si>
    <t>DIVERT EXCESS MP FUEL GAS-HABSHAN 0</t>
  </si>
  <si>
    <t>DESCON / ADNOC GAS</t>
  </si>
  <si>
    <t>23.09.2024</t>
  </si>
  <si>
    <t>23.03.2025</t>
  </si>
  <si>
    <t>08.11.2024</t>
  </si>
  <si>
    <t>03.01.2025</t>
  </si>
  <si>
    <t>09.06.2025</t>
  </si>
  <si>
    <t>28.10.2024</t>
  </si>
  <si>
    <r>
      <rPr>
        <sz val="11"/>
        <color rgb="FFFF0000"/>
        <rFont val="Arial"/>
        <family val="2"/>
      </rPr>
      <t xml:space="preserve">Project Closing Date  is expired and client extention date was not recived.  </t>
    </r>
    <r>
      <rPr>
        <sz val="11"/>
        <color theme="1"/>
        <rFont val="Arial"/>
        <family val="2"/>
      </rPr>
      <t xml:space="preserve"> Lastest KPI : Dec 2024      </t>
    </r>
    <r>
      <rPr>
        <sz val="11"/>
        <color rgb="FFFF0000"/>
        <rFont val="Arial"/>
        <family val="2"/>
      </rPr>
      <t xml:space="preserve">Note all internal audit dates are incorrects as well as the number of CARS &amp; Observations please double check. </t>
    </r>
  </si>
  <si>
    <t>H5 FLARES UPGRADE OF IGNITION AND DETECTION SYSTEMS</t>
  </si>
  <si>
    <t>23.02.2025</t>
  </si>
  <si>
    <t xml:space="preserve"> 27.12.2024</t>
  </si>
  <si>
    <t>14.01.2025</t>
  </si>
  <si>
    <t>25.04.2025</t>
  </si>
  <si>
    <t xml:space="preserve">Project Closing Date  is expired and client extention date was not recived.                       The Audit reports are not found inside the progect folder as well as the audit scheduale. </t>
  </si>
  <si>
    <t>STUDY ENERGY_PROCESS IMPROVEMENTS_SUSTAINABILITY INITIATIVES</t>
  </si>
  <si>
    <t>30.04.2025</t>
  </si>
  <si>
    <t>NA</t>
  </si>
  <si>
    <t>FEED for Replacement of Switchgears in ACPT1 and ACPT 2 in UZ</t>
  </si>
  <si>
    <t>15.12.2024</t>
  </si>
  <si>
    <t>15.08.2025</t>
  </si>
  <si>
    <t>Rev. C1</t>
  </si>
  <si>
    <t xml:space="preserve"> 23.05.2025</t>
  </si>
  <si>
    <t>27.05.2025</t>
  </si>
  <si>
    <t>10.07.2025</t>
  </si>
  <si>
    <t>01.09.2025</t>
  </si>
  <si>
    <t>Lastest KPI : May 2025</t>
  </si>
  <si>
    <t>EPC FOR BOROUGE EU3 H2 EXTRACTION UNIT PROJECT</t>
  </si>
  <si>
    <t>DESCON /Borouge</t>
  </si>
  <si>
    <t>25.11.2024</t>
  </si>
  <si>
    <t>24.09.2025</t>
  </si>
  <si>
    <t xml:space="preserve">Jawaher </t>
  </si>
  <si>
    <t>Rev. Q</t>
  </si>
  <si>
    <t>01.08.2025</t>
  </si>
  <si>
    <t>18.June.25</t>
  </si>
  <si>
    <t>30.May.25</t>
  </si>
  <si>
    <t>Construction of Permanent Outstations in Zirku Plant Area</t>
  </si>
  <si>
    <t>SAT / ADNOC OFFSHORE</t>
  </si>
  <si>
    <t>20.12.2024</t>
  </si>
  <si>
    <t>20.06.2025</t>
  </si>
  <si>
    <t>23.09.2025</t>
  </si>
  <si>
    <t>Rev. A1</t>
  </si>
  <si>
    <t xml:space="preserve"> 13.01.2025</t>
  </si>
  <si>
    <t>31.03.2025</t>
  </si>
  <si>
    <t>09.07.2025</t>
  </si>
  <si>
    <t>31.07.2025</t>
  </si>
  <si>
    <t>EPC FOR PE4 &amp; PE5 REVAMP PROJECT</t>
  </si>
  <si>
    <t>TARGET / Borouge</t>
  </si>
  <si>
    <t>Muddaser Moazzam</t>
  </si>
  <si>
    <t>26.12.2024</t>
  </si>
  <si>
    <t>24.04.2026</t>
  </si>
  <si>
    <t>24.Jun.25</t>
  </si>
  <si>
    <t>30.09.2025</t>
  </si>
  <si>
    <t>26.Jun.25</t>
  </si>
  <si>
    <t>Rerating of Vapor Recovery Compressor &amp; Modifications</t>
  </si>
  <si>
    <t>ADNOC Gas</t>
  </si>
  <si>
    <t>05.02.2025</t>
  </si>
  <si>
    <t>04.09.2025</t>
  </si>
  <si>
    <t>14.04.2025</t>
  </si>
  <si>
    <t>29.05.2025</t>
  </si>
  <si>
    <t>PROJECT COMPLETED
Lastest KPI : May 2025</t>
  </si>
  <si>
    <t>DECOMMISSIONING OF DEA DESULPHURIZATION SYSTEM IN AMM-1</t>
  </si>
  <si>
    <t>Probus / Fertil</t>
  </si>
  <si>
    <t>21.01.2025</t>
  </si>
  <si>
    <t>21.06.2025</t>
  </si>
  <si>
    <t>23.08.2025</t>
  </si>
  <si>
    <t>Rev. D01</t>
  </si>
  <si>
    <t>13.02.2025</t>
  </si>
  <si>
    <t>Feasibility Study for SWD System &amp; New Asphalt Roads in Buhasa</t>
  </si>
  <si>
    <t>04.02.2024</t>
  </si>
  <si>
    <t>04.08.2024</t>
  </si>
  <si>
    <t>19.09.2025</t>
  </si>
  <si>
    <t>Rev. C</t>
  </si>
  <si>
    <t>21.03.2025</t>
  </si>
  <si>
    <t xml:space="preserve">PROJECT NO: J736 UPGRADE RAW ETHANE EXPORT TO ADNOC REFINING &amp; HEPTANE </t>
  </si>
  <si>
    <t>11.08.2022</t>
  </si>
  <si>
    <t>11.02.2023</t>
  </si>
  <si>
    <t>30.07.2025</t>
  </si>
  <si>
    <t>06.11.2022</t>
  </si>
  <si>
    <t>23.12.2022</t>
  </si>
  <si>
    <r>
      <rPr>
        <sz val="11"/>
        <color rgb="FFFF0000"/>
        <rFont val="Arial"/>
        <family val="2"/>
      </rPr>
      <t>Project was restarted at Aug 2025</t>
    </r>
    <r>
      <rPr>
        <sz val="11"/>
        <color theme="1"/>
        <rFont val="Arial"/>
        <family val="2"/>
      </rPr>
      <t xml:space="preserve">                                                   Lastest KPI : Oct 2023</t>
    </r>
  </si>
  <si>
    <t>Revamp of 801-C-001 Vacuum Distillation Unit at RR-III</t>
  </si>
  <si>
    <t>DHAFIR / ADNOC Refining</t>
  </si>
  <si>
    <t>26.03.2025</t>
  </si>
  <si>
    <t>26.06.2025</t>
  </si>
  <si>
    <t>25.07.2025</t>
  </si>
  <si>
    <t xml:space="preserve"> 30.04.2025</t>
  </si>
  <si>
    <t>25.06.2025</t>
  </si>
  <si>
    <t>Feasibility Study for the Conversion of Tank AT HFZT</t>
  </si>
  <si>
    <t>24.04.2025</t>
  </si>
  <si>
    <t>ADOC-Detail Engineering for Mubarraz Redevelopment Project</t>
  </si>
  <si>
    <t>ADOC (JAPAN)</t>
  </si>
  <si>
    <t>25.12.2025</t>
  </si>
  <si>
    <t xml:space="preserve"> 09.06.2025</t>
  </si>
  <si>
    <t>28.08.2025</t>
  </si>
  <si>
    <t>02.06.2025</t>
  </si>
  <si>
    <t>Study for Ruwais NGL Trains 1 &amp; 2 Sea Water Intake Limitation</t>
  </si>
  <si>
    <t>Aditya Kaushal</t>
  </si>
  <si>
    <t>09.05.2025</t>
  </si>
  <si>
    <t>08.09.2025</t>
  </si>
  <si>
    <t>08.10.2025</t>
  </si>
  <si>
    <t>21.07.2025</t>
  </si>
  <si>
    <t>11.09.2025</t>
  </si>
  <si>
    <t>New Fuel Depot at Mena Zayed Port</t>
  </si>
  <si>
    <t>26.05.2025</t>
  </si>
  <si>
    <t>14.07.2025</t>
  </si>
  <si>
    <t>04.08.2025</t>
  </si>
  <si>
    <r>
      <rPr>
        <sz val="11"/>
        <color rgb="FFFF0000"/>
        <rFont val="Arial"/>
        <family val="2"/>
      </rPr>
      <t xml:space="preserve">Project Closing Date  is expired and client extention date was not recived. </t>
    </r>
    <r>
      <rPr>
        <sz val="11"/>
        <color theme="1"/>
        <rFont val="Arial"/>
        <family val="2"/>
      </rPr>
      <t xml:space="preserve"> Shamma (Assisting)</t>
    </r>
  </si>
  <si>
    <t>EPC WORKS FOR REPLACEMENT / UPGRADE OF WELLHEAD SCADA SYSTEM AT CCR, USSC</t>
  </si>
  <si>
    <t>FALCOR / ADNOC OFFSHORE</t>
  </si>
  <si>
    <t>02.05.2025</t>
  </si>
  <si>
    <t>08.05.2026</t>
  </si>
  <si>
    <t xml:space="preserve"> 03.09.2025</t>
  </si>
  <si>
    <t>25.09.2025</t>
  </si>
  <si>
    <t>Reciprocating Compressor Pulsation Analysis Study</t>
  </si>
  <si>
    <t>Aarekh Mehrotra</t>
  </si>
  <si>
    <t>11.06.2025</t>
  </si>
  <si>
    <t>11.12.2025</t>
  </si>
  <si>
    <t>Rev. A</t>
  </si>
  <si>
    <t>New Accommodation at Ettouk Island</t>
  </si>
  <si>
    <t>19.08.2025</t>
  </si>
  <si>
    <t xml:space="preserve">Project Closing Date  is expired and client extention date was not recived.  </t>
  </si>
  <si>
    <t>DETAILED ENGINEERING SERVICES FOR CENTRAL ENGINEERING DIVISION REMOTE CONTROL CENTER FOR ULL &amp; UAD AT AL RUMAITHA (NEB)</t>
  </si>
  <si>
    <t>09.03.2026</t>
  </si>
  <si>
    <t>29.12.2025</t>
  </si>
  <si>
    <t>26.02.2026</t>
  </si>
  <si>
    <t>SARB PRODUCED WATER TREATMENT PROJECT</t>
  </si>
  <si>
    <t>07.08.2025</t>
  </si>
  <si>
    <t>06.04.2026</t>
  </si>
  <si>
    <t>Rev 1</t>
  </si>
  <si>
    <t>30.12.2025</t>
  </si>
  <si>
    <t>27.02.2026</t>
  </si>
  <si>
    <t>FLY CAMP OFFICE BUILDING</t>
  </si>
  <si>
    <t>KOM is not yet attached in the Project Folder.</t>
  </si>
  <si>
    <t>REFUGEE SHELTERS</t>
  </si>
  <si>
    <t>T31-MOC -Upper Zakum Pkg 11</t>
  </si>
  <si>
    <t>11.07.2026</t>
  </si>
  <si>
    <t>Project Management Consultancy (PMC)</t>
  </si>
  <si>
    <t>Train 1 and 2 - Fire &amp; Gas Detection System</t>
  </si>
  <si>
    <t>Cegelec / ADNOC GAS</t>
  </si>
  <si>
    <t>24.03.2025</t>
  </si>
  <si>
    <t>Pre-FEED for Routing Regeneration Gas to Fuel Gas Header</t>
  </si>
  <si>
    <t>29.09.2025</t>
  </si>
  <si>
    <t>15.12.2025</t>
  </si>
  <si>
    <t>FEED Ruwais Train 1 and 2 Facilities F &amp; G Mapping</t>
  </si>
  <si>
    <t>18.11.2025</t>
  </si>
  <si>
    <t>17.07.2025</t>
  </si>
  <si>
    <t>SACS ENDORSEMENT FOR UAD</t>
  </si>
  <si>
    <t>Adequacy check of the existing Steam Drum (Tag No. 1600-D-004) for revised parameters</t>
  </si>
  <si>
    <t>BUNKERING WATER PUMPING SYSTEM FOR MOSB (ADNOC LOGISTICCS)</t>
  </si>
  <si>
    <t>SSEC / ADNOC GAS</t>
  </si>
  <si>
    <t>NEW ACCOMODATION AT ASI AND UAAI ISLAND</t>
  </si>
  <si>
    <t>RAD PROJECT NO</t>
  </si>
  <si>
    <t>Project Name</t>
  </si>
  <si>
    <t>Document Controller Name</t>
  </si>
  <si>
    <t>Open / Closed</t>
  </si>
  <si>
    <t>FEED-ADOFF Engineering Framework for Zirku Package-1"</t>
  </si>
  <si>
    <t>Mohamed Sultan</t>
  </si>
  <si>
    <t>Mohamed Elbadry</t>
  </si>
  <si>
    <t>Closed</t>
  </si>
  <si>
    <t>EPC FOR UPGRADE EXISTING GLYCOL FLARE IN BUHASA</t>
  </si>
  <si>
    <t>Maybelline Cagatao</t>
  </si>
  <si>
    <t xml:space="preserve">Nada Hassan (Handed over from Mohamed Elbadry)
</t>
  </si>
  <si>
    <t xml:space="preserve">EDG &amp; LV System Upgarde _Lower Zakum </t>
  </si>
  <si>
    <t>Maharoof Uliyan</t>
  </si>
  <si>
    <t xml:space="preserve">Mohamed Elbadry
</t>
  </si>
  <si>
    <t>C&amp;F FEED Study for Standalone Packaging Project</t>
  </si>
  <si>
    <t>Maybelline Cagatao/ Ralston Rodrigues</t>
  </si>
  <si>
    <t>Waste water Purification for Reuse FEED project</t>
  </si>
  <si>
    <t>ASAB 2 - DEMIN PACAKGE</t>
  </si>
  <si>
    <t xml:space="preserve">SAHIL &amp; HALIBA PROJECT </t>
  </si>
  <si>
    <t>FS_DE for Installation of Spare Ejectors_Flow meters</t>
  </si>
  <si>
    <t>FEED for installation of Toxic Gas Detectors, MOL SS Replacement &amp; Gas Header Dislocation</t>
  </si>
  <si>
    <t xml:space="preserve">
Dadhibal Lama</t>
  </si>
  <si>
    <t>Habshan_Bab Energy Efficiency improvement_Carbon Abatement Study</t>
  </si>
  <si>
    <t>ALBANNA - RW-FM UPGRADE PROJECT</t>
  </si>
  <si>
    <t>Hold</t>
  </si>
  <si>
    <t>GALAXY PIPELINE PROJECT</t>
  </si>
  <si>
    <t>Open</t>
  </si>
  <si>
    <t>POTABLE &amp; UTILITY WATER SYSTEM UPGRADE RSHT-2 (FEED)</t>
  </si>
  <si>
    <t xml:space="preserve">RSME PROJECT </t>
  </si>
  <si>
    <t>Study for Flare Gas Recovery</t>
  </si>
  <si>
    <t>FEED Study to Implement Real Time AEMS at RR I II &amp; III</t>
  </si>
  <si>
    <t>Nada Hassan</t>
  </si>
  <si>
    <t>FEED Study to Implement Real Time AEMS at Fertil</t>
  </si>
  <si>
    <t>SATAH GIC Process &amp; Corrosion Studies</t>
  </si>
  <si>
    <t>SIL Revalidation for LNG Facilities at Das Island</t>
  </si>
  <si>
    <t>Dadhibal Lama</t>
  </si>
  <si>
    <t>Sahil Phase III development</t>
  </si>
  <si>
    <t xml:space="preserve">Mohd Sharique (Handed over from Mohamed Elbadry)
</t>
  </si>
  <si>
    <t xml:space="preserve">Comprehensive Energy Review (Studies) </t>
  </si>
  <si>
    <t>FEED Study for Standalone Packaging Project (Phase 2)</t>
  </si>
  <si>
    <t xml:space="preserve">Ralston Rodrigues </t>
  </si>
  <si>
    <t>Muddaser</t>
  </si>
  <si>
    <t>TRANSIENT ANALYSIS STUDY FOR AL NOUF AND RUMAITHA P5 FACILITIES DEVELOPMENT</t>
  </si>
  <si>
    <t>STRESS ANALYSIS STUDY FOR AL  NOUF &amp; RUMAITHA P5 FACILITIES DEVELOPMENT</t>
  </si>
  <si>
    <t>MIGRATION OF AVEVA MODELS TO SMART PLANT</t>
  </si>
  <si>
    <t>Critical Electrical Upgradation at Das and Zirku</t>
  </si>
  <si>
    <t>FEED STUDY for AUTO-SAMPLER FOR SLD</t>
  </si>
  <si>
    <t>Vital Infrastructure Project</t>
  </si>
  <si>
    <t xml:space="preserve">  DEBOTTLENECKING of STEAM CONDENSATE SYSTEM in HABSHAN – 5.</t>
  </si>
  <si>
    <t>Operatoor Sheleter Improvement Project</t>
  </si>
  <si>
    <t>RUWAIS NGL TRAIN-3 FIRE &amp; GAS DETECTION MAPPING IMPLEMENTATION</t>
  </si>
  <si>
    <t>FEED for C&amp;F Instrument Air Piping Network Replacement / Upgrade at DAS island</t>
  </si>
  <si>
    <t>EPC WORKS FOR ESTIDAMA-SALES GAS PIPELINES NETWORK ENHANCEMENT- PACKAGE #1</t>
  </si>
  <si>
    <t>EPC for Fire Water Ring Replacement at MOT &amp; MPS</t>
  </si>
  <si>
    <t>Provision of Engineering &amp; Consultancy Services For Ethylene Vaporizer II In B2 -U&amp;O</t>
  </si>
  <si>
    <t>EPC For Flexibility Of Crude Oil Facilities At Fujairah Main Oil Terminal (MOT)</t>
  </si>
  <si>
    <t xml:space="preserve">RUWAIS FIRE WATER NETWORK UPGRADE (NGL &amp; SGP) </t>
  </si>
  <si>
    <t>CONSULTANCY SERVICES FOR EXTENDED FEASIBILITY / BASIC DESIGN FOR ENERGY REDUCTION AND OPTIMIZATION PROJECTS (8 NOS OF SCHEMES) AT RR-I, RR-II &amp; RR-III</t>
  </si>
  <si>
    <t>BU HASA CDS FACILITIES CONSTRAINT STUDY</t>
  </si>
  <si>
    <t>Engineering Study to Prepare The Construction Package For Fire Proofing Jackets For ESD Valve Actuators And MOVS At Ruwais Refinery-III</t>
  </si>
  <si>
    <t>TRANSIENT STUDY PERMANENT POTABLE WATER SUPPLY LINE TO SAHIL</t>
  </si>
  <si>
    <t>Ramana Rao K.V.</t>
  </si>
  <si>
    <t>TRANSIENT STUDY FOR BUHASA WATER INJECTION CLUSTER LOOPING</t>
  </si>
  <si>
    <t>Consultancy Services for FE Analysis for New nozzle arrangement for Product Receiver Tank &amp; Purge Bin</t>
  </si>
  <si>
    <t>FEED Study project for ASAB 0&amp;3, 1&amp;2 Burner Management Systems</t>
  </si>
  <si>
    <t>RESIDUE YIELD IMPROVEMENT PROJECT</t>
  </si>
  <si>
    <t>STUDY &amp; EVALUATION OF FLARE VENDOR PROPOSALS (ASAB-0 BURN PIT-B UPGRADE)</t>
  </si>
  <si>
    <t>LASER SCAN &amp; PROVISION OF FULL INTELLIGENT 3D MODELS FOR DAS ISLAND</t>
  </si>
  <si>
    <t>Ralston Rodrigues</t>
  </si>
  <si>
    <t>Naresh Nagpurkar</t>
  </si>
  <si>
    <t>FEED-New Sewage Treatment Plant (STP) and PGU Demolition</t>
  </si>
  <si>
    <t>FEED-BAB Miscellaneous Works-Package 1</t>
  </si>
  <si>
    <t>STRESS ANALYSIS OF KS-1 SOL. PIPING &amp; DET ENG FOR F1-UR-189</t>
  </si>
  <si>
    <t>HYDRAULICS –SURGE IMPULSE LOAD ANALYSIS</t>
  </si>
  <si>
    <t>TSSA Provisions of O&amp;M Pipelines Costing within AG Pipeline</t>
  </si>
  <si>
    <r>
      <t xml:space="preserve">Audits </t>
    </r>
    <r>
      <rPr>
        <sz val="16"/>
        <color theme="1"/>
        <rFont val="Arial"/>
        <family val="2"/>
      </rPr>
      <t>(Extracted from Audit Schedules)</t>
    </r>
  </si>
  <si>
    <t>#</t>
  </si>
  <si>
    <t>Jan</t>
  </si>
  <si>
    <t>Feb</t>
  </si>
  <si>
    <t>Mar</t>
  </si>
  <si>
    <t>Apr</t>
  </si>
  <si>
    <t>May</t>
  </si>
  <si>
    <t>Jun</t>
  </si>
  <si>
    <t>Jul</t>
  </si>
  <si>
    <t>Aug</t>
  </si>
  <si>
    <t>Sep</t>
  </si>
  <si>
    <t>Oct</t>
  </si>
  <si>
    <t>Nov</t>
  </si>
  <si>
    <t>Dec</t>
  </si>
  <si>
    <t xml:space="preserve">5900738@ 30% Engg </t>
  </si>
  <si>
    <t xml:space="preserve">5900885@ 30% Engg </t>
  </si>
  <si>
    <t xml:space="preserve">5900891@ 30% Engg </t>
  </si>
  <si>
    <t xml:space="preserve">5900738@ 60% Engg </t>
  </si>
  <si>
    <t xml:space="preserve">5900878@ 30% Engg </t>
  </si>
  <si>
    <t xml:space="preserve">5900738@ 90% Engg </t>
  </si>
  <si>
    <t xml:space="preserve">5900878@ 60% Engg </t>
  </si>
  <si>
    <t xml:space="preserve">5900837@ 75% Engg </t>
  </si>
  <si>
    <t xml:space="preserve">5900878@ 90% Engg </t>
  </si>
  <si>
    <t xml:space="preserve">5900927@ 75% Engg </t>
  </si>
  <si>
    <t xml:space="preserve">5900935@ 75% Engg </t>
  </si>
  <si>
    <t xml:space="preserve">5900885@ 60% Engg </t>
  </si>
  <si>
    <t xml:space="preserve">5900837@ 25% Engg </t>
  </si>
  <si>
    <t xml:space="preserve">5900892@ 50% Engg </t>
  </si>
  <si>
    <t xml:space="preserve">5900885@ 90% Engg </t>
  </si>
  <si>
    <t xml:space="preserve">5900927@ 50% Engg </t>
  </si>
  <si>
    <t xml:space="preserve">5900982@ 60% Engg </t>
  </si>
  <si>
    <t xml:space="preserve">5900982@ 90% Engg </t>
  </si>
  <si>
    <t xml:space="preserve">5900891@ 60% Engg </t>
  </si>
  <si>
    <t xml:space="preserve">5900892@ 25% Engg </t>
  </si>
  <si>
    <t xml:space="preserve">5900978@ 30% Engg </t>
  </si>
  <si>
    <t xml:space="preserve">5900892@ 75% Engg </t>
  </si>
  <si>
    <t xml:space="preserve">5900935@ 25% Engg </t>
  </si>
  <si>
    <t xml:space="preserve">5900983@ 60% Engg </t>
  </si>
  <si>
    <t xml:space="preserve">5900983@ 90% Engg </t>
  </si>
  <si>
    <t xml:space="preserve">5900942@ 30% Engg </t>
  </si>
  <si>
    <t xml:space="preserve">5900927@ 25% Engg </t>
  </si>
  <si>
    <t xml:space="preserve">5900982@ 30% Engg </t>
  </si>
  <si>
    <t xml:space="preserve">5900983@ 30% Engg </t>
  </si>
  <si>
    <t xml:space="preserve">Done </t>
  </si>
  <si>
    <t>Was done in one audit rather than 2</t>
  </si>
  <si>
    <t>Was not done</t>
  </si>
  <si>
    <t>COMPANY PROJECT No.</t>
  </si>
  <si>
    <t xml:space="preserve">Total No of Audits </t>
  </si>
  <si>
    <t xml:space="preserve">No of Audits conducted </t>
  </si>
  <si>
    <t>No of Audits - Pending</t>
  </si>
  <si>
    <t xml:space="preserve">No of Audits - Scheduled </t>
  </si>
  <si>
    <t>Audit Observation points - Status</t>
  </si>
  <si>
    <t xml:space="preserve">Total No of Audit Observatio points </t>
  </si>
  <si>
    <t>Complied /Closed</t>
  </si>
  <si>
    <t>Audit - OPEN Points</t>
  </si>
  <si>
    <t>Suggestion for improvement</t>
  </si>
  <si>
    <t>No of CARs -OPEN</t>
  </si>
  <si>
    <t>2 Nos.</t>
  </si>
  <si>
    <t xml:space="preserve">1 No.( Internal Audit - @25% of Engg.completion) </t>
  </si>
  <si>
    <t xml:space="preserve">1 No. </t>
  </si>
  <si>
    <t xml:space="preserve">a) COMPANY Audit - 1 No. @ 50% - 60% of Engg.completion
</t>
  </si>
  <si>
    <t>41 Nos.</t>
  </si>
  <si>
    <t>21 Nos.</t>
  </si>
  <si>
    <t>18 Nos.</t>
  </si>
  <si>
    <t>3 Nos.</t>
  </si>
  <si>
    <t>OPEN - 2 Nos. / 2 Nos.</t>
  </si>
  <si>
    <t>37001-00088</t>
  </si>
  <si>
    <t>BOROUGE</t>
  </si>
  <si>
    <t>2Nos.</t>
  </si>
  <si>
    <t>NIL</t>
  </si>
  <si>
    <t xml:space="preserve">2 Nos. </t>
  </si>
  <si>
    <t xml:space="preserve">a) 1st Audit - July'23 
@ 25% of Engg.Completion
b) 2nd Audit - Aug'23
@ 50% - 60% of Engg.completion
</t>
  </si>
  <si>
    <t>N/A</t>
  </si>
  <si>
    <t xml:space="preserve">1 No.( Internal Audit - @50% of Engg.completion) </t>
  </si>
  <si>
    <t xml:space="preserve">
a) 2nd Audit - July'23 
@ 75-80% of Engg.Completion
</t>
  </si>
  <si>
    <t>10 Nos</t>
  </si>
  <si>
    <t>8 Nos.</t>
  </si>
  <si>
    <t>OPEN - NIL / 
1 No.</t>
  </si>
  <si>
    <t>AD312</t>
  </si>
  <si>
    <t>4 Nos.</t>
  </si>
  <si>
    <t>5 Nos. Audits conducted</t>
  </si>
  <si>
    <t xml:space="preserve">4 Nos. </t>
  </si>
  <si>
    <t xml:space="preserve">
a) Final Audit - Aug'23 
@ 80% of Engg.Completion
</t>
  </si>
  <si>
    <t>5 No.</t>
  </si>
  <si>
    <t>OPEN - 1 No. / 
4 Nos.</t>
  </si>
  <si>
    <t>DAS EPC ELECTRICAL UP-GRADATION</t>
  </si>
  <si>
    <t>1 No.</t>
  </si>
  <si>
    <t xml:space="preserve">
a) Final Audit - July'23 
@ 80% - 90% of Engg.Completion
</t>
  </si>
  <si>
    <t>SUMMARY</t>
  </si>
  <si>
    <t xml:space="preserve">RAD - PROJECT HANDOVER  STATUS - 2023 </t>
  </si>
  <si>
    <t>Status as of 31.May.23</t>
  </si>
  <si>
    <t>AUDITS</t>
  </si>
  <si>
    <t>KPI Implementation</t>
  </si>
  <si>
    <t>Status</t>
  </si>
  <si>
    <t xml:space="preserve">PQP </t>
  </si>
  <si>
    <t>Document Numbering Procedure</t>
  </si>
  <si>
    <t xml:space="preserve">Internal Audit Report </t>
  </si>
  <si>
    <t>COMPANY Audit</t>
  </si>
  <si>
    <t>Part of MPR Reports</t>
  </si>
  <si>
    <t>0500839</t>
  </si>
  <si>
    <t>TARGET /ADNOC GAS PROCESSING</t>
  </si>
  <si>
    <t>CLOSED</t>
  </si>
  <si>
    <t>P386/
4700011289</t>
  </si>
  <si>
    <t>EPC WORKS FOR REPLACEMENT OF EMERGENCY DIESEL 
GENERATORS(EDGS) &amp; LV SYSTEM UPGRADE AT LOWER ZAKUM.</t>
  </si>
  <si>
    <t>CCTC/
ADNOC OFFSHORE</t>
  </si>
  <si>
    <t>Internally - NCR is closed, COMPANY given formal approval - Alvin.</t>
  </si>
  <si>
    <t>ISCCO/ADNOC GAS PROCESSING</t>
  </si>
  <si>
    <t xml:space="preserve"> P24027</t>
  </si>
  <si>
    <t xml:space="preserve">MOT PROJECT </t>
  </si>
  <si>
    <t>ADYARD/
ADNOC ONSHORE</t>
  </si>
  <si>
    <t>30001-50154</t>
  </si>
  <si>
    <t>Nada Hassan / Pankaj Kumar</t>
  </si>
  <si>
    <t xml:space="preserve"> Rev - 0 - Approved by COMPANY </t>
  </si>
  <si>
    <t>Submitted</t>
  </si>
  <si>
    <t xml:space="preserve">CARs submitted.
Observations are pending. </t>
  </si>
  <si>
    <t>YES</t>
  </si>
  <si>
    <t>YES - Shall be included in MPR  from May'23</t>
  </si>
  <si>
    <t>Prepared for Apr'23 to May'23</t>
  </si>
  <si>
    <t>00506</t>
  </si>
  <si>
    <t>ADNOCREFINING</t>
  </si>
  <si>
    <t>Rev 0 - Submitted on 29.May.23
 COMPANY Approval is awaited.</t>
  </si>
  <si>
    <t xml:space="preserve">COMPANY Numbering procedure being followed. </t>
  </si>
  <si>
    <t>Scheduled on 07.June.23</t>
  </si>
  <si>
    <t xml:space="preserve">NIL </t>
  </si>
  <si>
    <t>FERTIL</t>
  </si>
  <si>
    <t>Rev D01 - Submitted on 29.May.23
 COMPANY Approval is awaited.</t>
  </si>
  <si>
    <t>Scheduled on 06.June.23</t>
  </si>
  <si>
    <t>Rev 0 - Submitted on 10.May.23
 COMPANY Approval is awaited.</t>
  </si>
  <si>
    <t>Scheduled on 31.May.23</t>
  </si>
  <si>
    <t>Scheduled on 09.June.23</t>
  </si>
  <si>
    <t>Scheduled on July'23</t>
  </si>
  <si>
    <t xml:space="preserve">Prepared for Apr'23 </t>
  </si>
  <si>
    <t>PKG - 1 - P 12537
PKG - 2 - P 12538
PKG - 3 - P 12534</t>
  </si>
  <si>
    <t>PQP is under Preparation. Planned to submit on 07.June.23</t>
  </si>
  <si>
    <t>Document requests shared by Discipoine Leads to get the Document Serial Nos.</t>
  </si>
  <si>
    <t>Scheduled on Aug'23</t>
  </si>
  <si>
    <t>Scheduled on Sep-Oct'23</t>
  </si>
  <si>
    <t>NO</t>
  </si>
  <si>
    <t>YES - Shall be included in MPR  from June'23</t>
  </si>
  <si>
    <t>New Project</t>
  </si>
  <si>
    <t>E1342</t>
  </si>
  <si>
    <t>COMPANY adsvised to use the Target PQP</t>
  </si>
  <si>
    <t>BOR  XXXXXX</t>
  </si>
  <si>
    <t>Rev G - Submitted on 25.May.23
 COMPANY Approval is awaited.</t>
  </si>
  <si>
    <t>Document Serial Nos. assigned by COMPANY on 31.May.23</t>
  </si>
  <si>
    <t>BOR200120</t>
  </si>
  <si>
    <t>Rev H - Submitted on 10.Feb.23
 COMPANY Approved in Code D .</t>
  </si>
  <si>
    <t xml:space="preserve">Document Nos. assigned.
However, COMPANY informed that they will assign the Document  serial nos.based on the Existing document philosophy </t>
  </si>
  <si>
    <t>Scheduled on 12.June.23</t>
  </si>
  <si>
    <t>Prepared for Jan'23 to April'23</t>
  </si>
  <si>
    <t>Rev 0 - Submitted on 06.April.23
 COMPANY has Approved it</t>
  </si>
  <si>
    <t>Rev 0 - Submitted on 05.April.23
 COMPANY has Approved it</t>
  </si>
  <si>
    <t>Scheduled on June'23. Date to be discussed with Pravin</t>
  </si>
  <si>
    <t>Prepared for Feb'23 to April'23</t>
  </si>
  <si>
    <t>COMPANY adsvised to use the 5337 PQP</t>
  </si>
  <si>
    <t>Audit  conducted on 17.May.23</t>
  </si>
  <si>
    <t>CONTRACTOR conducted the Audit  conducted on 19.May.23. Audit report is awaited</t>
  </si>
  <si>
    <t>Details of Findings</t>
  </si>
  <si>
    <t>No</t>
  </si>
  <si>
    <t>Activities Covered</t>
  </si>
  <si>
    <t>ISO/PQP– Clause Ref</t>
  </si>
  <si>
    <t>Records Checked &amp; Procedures Witnessed</t>
  </si>
  <si>
    <t>Comments</t>
  </si>
  <si>
    <t>Major Non-conformance</t>
  </si>
  <si>
    <t>Minor Non-conformance</t>
  </si>
  <si>
    <t>Observation</t>
  </si>
  <si>
    <t>OFI</t>
  </si>
  <si>
    <t>(CARs # when raised)</t>
  </si>
  <si>
    <t>Quality Reporting system</t>
  </si>
  <si>
    <r>
      <t>Planning Package</t>
    </r>
    <r>
      <rPr>
        <sz val="8"/>
        <color theme="1"/>
        <rFont val="Arial"/>
        <family val="2"/>
      </rPr>
      <t> </t>
    </r>
    <r>
      <rPr>
        <sz val="10"/>
        <color rgb="FF4D5156"/>
        <rFont val="Arial"/>
        <family val="2"/>
      </rPr>
      <t xml:space="preserve">  </t>
    </r>
  </si>
  <si>
    <t>The Recovery Plan for the delay beyond 10% has not been initiated and no official document submission to Company was evidenced during the Audit</t>
  </si>
  <si>
    <t>X</t>
  </si>
  <si>
    <t>PP-30001-50154-A2-216-51-00-001</t>
  </si>
  <si>
    <t xml:space="preserve">Actions have been required by the company but evidence to display the following actions are pending </t>
  </si>
  <si>
    <t>Clause 7.3</t>
  </si>
  <si>
    <r>
      <t>a)</t>
    </r>
    <r>
      <rPr>
        <sz val="7"/>
        <color rgb="FF4D5156"/>
        <rFont val="Times New Roman"/>
        <family val="1"/>
      </rPr>
      <t xml:space="preserve">     </t>
    </r>
    <r>
      <rPr>
        <sz val="10"/>
        <color rgb="FF4D5156"/>
        <rFont val="Arial"/>
        <family val="2"/>
      </rPr>
      <t>Manpower (Mobilization chart and mom/demob)</t>
    </r>
  </si>
  <si>
    <r>
      <t>b)</t>
    </r>
    <r>
      <rPr>
        <sz val="7"/>
        <color rgb="FF4D5156"/>
        <rFont val="Times New Roman"/>
        <family val="1"/>
      </rPr>
      <t xml:space="preserve">     </t>
    </r>
    <r>
      <rPr>
        <sz val="10"/>
        <color rgb="FF4D5156"/>
        <rFont val="Arial"/>
        <family val="2"/>
      </rPr>
      <t>previous items</t>
    </r>
  </si>
  <si>
    <r>
      <t>c)</t>
    </r>
    <r>
      <rPr>
        <sz val="7"/>
        <color rgb="FF4D5156"/>
        <rFont val="Times New Roman"/>
        <family val="1"/>
      </rPr>
      <t xml:space="preserve">     </t>
    </r>
    <r>
      <rPr>
        <sz val="10"/>
        <color rgb="FF4D5156"/>
        <rFont val="Arial"/>
        <family val="2"/>
      </rPr>
      <t>Recovery plan</t>
    </r>
  </si>
  <si>
    <t>Resources</t>
  </si>
  <si>
    <t>Letters have been sent by company and a response of more than 30 days have been provided by Rejlers initial 27 Feb and response 31 march</t>
  </si>
  <si>
    <t>Clause 6.3</t>
  </si>
  <si>
    <t>The Main scope of the project pertains to material &amp; Manufacturing issues of the Material.  There is no Material Engineer available for this Project and the Sub Contractor material Engineer who prepares the document on behalf of the Sub Contractor also reviews the document on behalf of the Engineer and there is no Review by Engineer</t>
  </si>
  <si>
    <t>Exhibit B 4.3</t>
  </si>
  <si>
    <t>The contents of the Monthly and weekly report are not as per Exhibit 4.3 and exhibit B 10.  Several data like Audit schedule (plan vs actual),  lessons learnt Matrix etc are missing</t>
  </si>
  <si>
    <t>Clause 6.2/6.3</t>
  </si>
  <si>
    <t>KPI</t>
  </si>
  <si>
    <t>Out of the 7 KPIs identified, 4 are not meeting the criteria and there is no mitigation or correction plan for these failed KPIs</t>
  </si>
  <si>
    <t>Clause 6.2</t>
  </si>
  <si>
    <t>Non availability of exbibit requirements and documentation with the project members. The documentation should be available for better transfer and sharing of information.</t>
  </si>
  <si>
    <t>Clause 7.4</t>
  </si>
  <si>
    <t>Review of Risk Register</t>
  </si>
  <si>
    <t>No major workshops conducted against plan. Actual vs plan (3 out 6 not conducted), Subcontractor register 50 % of workshop have not completed in time. 3 missed their deadlines.</t>
  </si>
  <si>
    <t>Clause 11.6</t>
  </si>
  <si>
    <t>The risk register, item number 3 (Risk 6 B) after 6A. The mitigation is insufficient. The risk to be revisited for better evaluation. (Mitigated and reviewed)</t>
  </si>
  <si>
    <t>Clause 8.3.2</t>
  </si>
  <si>
    <t>section 8.3.2. of the PQP mentions that risk review to be conducted on monthly basis. Instead, it should be reviewed on a quarterly basis.</t>
  </si>
  <si>
    <t xml:space="preserve">Deviation Control </t>
  </si>
  <si>
    <t>During IDC / SDC, documents have been sent for review to the reviewers.  The review has happened, but no mechanism in place to track implementation of these comments.</t>
  </si>
  <si>
    <t xml:space="preserve">Design Verification </t>
  </si>
  <si>
    <t>RACI Matrix</t>
  </si>
  <si>
    <t>Process design basis the Rev has not passed by Rotating for IDC as per required by RACI.</t>
  </si>
  <si>
    <t>Review of Lesson learnt Register</t>
  </si>
  <si>
    <t>Master TC a new column should be present for reference document that incorporates the lesson learned in their tracking register.</t>
  </si>
  <si>
    <t>Clause 12.3</t>
  </si>
  <si>
    <r>
      <t> </t>
    </r>
    <r>
      <rPr>
        <sz val="10"/>
        <color theme="1"/>
        <rFont val="Arial"/>
        <family val="2"/>
      </rPr>
      <t>Input planning package number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</si>
</sst>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scheme val="minor"/>
    </font>
    <font>
      <b/>
      <sz val="11"/>
      <name val="Arial"/>
      <family val="2"/>
    </font>
    <font>
      <b/>
      <sz val="10"/>
      <name val="Arial"/>
      <family val="2"/>
    </font>
    <font>
      <sz val="10"/>
      <name val="Arial"/>
      <family val="2"/>
    </font>
    <font>
      <sz val="11"/>
      <name val="Arial"/>
      <family val="2"/>
    </font>
    <font>
      <sz val="12"/>
      <name val="Arial MT"/>
      <family val="2"/>
    </font>
    <font>
      <sz val="8"/>
      <name val="Calibri"/>
      <family val="2"/>
      <scheme val="minor"/>
    </font>
    <font>
      <sz val="11"/>
      <color rgb="FFFF0000"/>
      <name val="Calibri"/>
      <family val="2"/>
      <scheme val="minor"/>
    </font>
    <font>
      <b/>
      <sz val="16"/>
      <color theme="1"/>
      <name val="Calibri"/>
      <family val="2"/>
      <scheme val="minor"/>
    </font>
    <font>
      <sz val="11"/>
      <color rgb="FF0070C0"/>
      <name val="Calibri"/>
      <family val="2"/>
      <scheme val="minor"/>
    </font>
    <font>
      <sz val="10"/>
      <color theme="1"/>
      <name val="Arial"/>
      <family val="2"/>
    </font>
    <font>
      <b/>
      <sz val="10"/>
      <color rgb="FF1859A9"/>
      <name val="Arial"/>
      <family val="2"/>
    </font>
    <font>
      <sz val="11"/>
      <color theme="1"/>
      <name val="Arial"/>
      <family val="2"/>
    </font>
    <font>
      <sz val="10"/>
      <color rgb="FF4D5156"/>
      <name val="Arial"/>
      <family val="2"/>
    </font>
    <font>
      <sz val="8"/>
      <color theme="1"/>
      <name val="Arial"/>
      <family val="2"/>
    </font>
    <font>
      <sz val="7"/>
      <color rgb="FF4D5156"/>
      <name val="Times New Roman"/>
      <family val="1"/>
    </font>
    <font>
      <b/>
      <sz val="11"/>
      <color theme="1"/>
      <name val="Calibri"/>
      <family val="2"/>
      <scheme val="minor"/>
    </font>
    <font>
      <sz val="11"/>
      <color rgb="FF9C0006"/>
      <name val="Calibri"/>
      <family val="2"/>
      <scheme val="minor"/>
    </font>
    <font>
      <b/>
      <sz val="11"/>
      <color theme="1"/>
      <name val="Arial"/>
      <family val="2"/>
    </font>
    <font>
      <sz val="11"/>
      <color rgb="FF006100"/>
      <name val="Calibri"/>
      <family val="2"/>
      <scheme val="minor"/>
    </font>
    <font>
      <sz val="11"/>
      <color rgb="FF9C5700"/>
      <name val="Calibri"/>
      <family val="2"/>
      <scheme val="minor"/>
    </font>
    <font>
      <b/>
      <sz val="12"/>
      <color theme="1"/>
      <name val="Arial"/>
      <family val="2"/>
    </font>
    <font>
      <sz val="12"/>
      <color theme="1"/>
      <name val="Arial"/>
      <family val="2"/>
    </font>
    <font>
      <b/>
      <sz val="14"/>
      <color theme="1"/>
      <name val="Arial"/>
      <family val="2"/>
    </font>
    <font>
      <b/>
      <sz val="16"/>
      <color theme="1"/>
      <name val="Arial"/>
      <family val="2"/>
    </font>
    <font>
      <sz val="16"/>
      <color theme="1"/>
      <name val="Arial"/>
      <family val="2"/>
    </font>
    <font>
      <b/>
      <sz val="20"/>
      <color theme="1"/>
      <name val="Arial"/>
      <family val="2"/>
    </font>
    <font>
      <sz val="10"/>
      <color rgb="FFFF0000"/>
      <name val="Arial"/>
      <family val="2"/>
    </font>
    <font>
      <sz val="11"/>
      <color theme="0"/>
      <name val="Arial"/>
      <family val="2"/>
    </font>
    <font>
      <sz val="10"/>
      <color theme="0"/>
      <name val="Arial"/>
      <family val="2"/>
    </font>
    <font>
      <sz val="11"/>
      <color rgb="FFFF0000"/>
      <name val="Arial"/>
      <family val="2"/>
    </font>
    <font>
      <sz val="11"/>
      <color rgb="FF000000"/>
      <name val="Arial"/>
      <family val="2"/>
    </font>
    <font>
      <b/>
      <sz val="8"/>
      <color theme="1"/>
      <name val="Arial"/>
      <family val="2"/>
    </font>
    <font>
      <sz val="11"/>
      <color theme="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FFC7CE"/>
      </patternFill>
    </fill>
    <fill>
      <patternFill patternType="solid">
        <fgColor rgb="FFC6EFCE"/>
      </patternFill>
    </fill>
    <fill>
      <patternFill patternType="solid">
        <fgColor rgb="FFFFEB9C"/>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79998168889431442"/>
        <bgColor indexed="64"/>
      </patternFill>
    </fill>
    <fill>
      <patternFill patternType="solid">
        <fgColor theme="5" tint="0.39997558519241921"/>
        <bgColor indexed="64"/>
      </patternFill>
    </fill>
  </fills>
  <borders count="79">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000000"/>
      </left>
      <right style="thin">
        <color rgb="FF000000"/>
      </right>
      <top style="medium">
        <color indexed="64"/>
      </top>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CCCCCC"/>
      </top>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rgb="FF000000"/>
      </left>
      <right style="thin">
        <color rgb="FF000000"/>
      </right>
      <top style="medium">
        <color rgb="FF000000"/>
      </top>
      <bottom style="thin">
        <color rgb="FF000000"/>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bottom style="thin">
        <color indexed="64"/>
      </bottom>
      <diagonal/>
    </border>
    <border>
      <left style="thin">
        <color indexed="64"/>
      </left>
      <right style="medium">
        <color rgb="FF000000"/>
      </right>
      <top style="thin">
        <color indexed="64"/>
      </top>
      <bottom style="thin">
        <color indexed="64"/>
      </bottom>
      <diagonal/>
    </border>
    <border>
      <left/>
      <right style="medium">
        <color rgb="FF000000"/>
      </right>
      <top style="thin">
        <color indexed="64"/>
      </top>
      <bottom style="thin">
        <color indexed="64"/>
      </bottom>
      <diagonal/>
    </border>
    <border>
      <left style="thin">
        <color indexed="64"/>
      </left>
      <right/>
      <top/>
      <bottom/>
      <diagonal/>
    </border>
    <border>
      <left style="thin">
        <color rgb="FF000000"/>
      </left>
      <right style="thin">
        <color rgb="FF000000"/>
      </right>
      <top/>
      <bottom/>
      <diagonal/>
    </border>
    <border>
      <left/>
      <right style="thin">
        <color indexed="64"/>
      </right>
      <top/>
      <bottom/>
      <diagonal/>
    </border>
    <border>
      <left style="medium">
        <color rgb="FF000000"/>
      </left>
      <right/>
      <top/>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right style="thin">
        <color indexed="64"/>
      </right>
      <top style="thin">
        <color rgb="FF000000"/>
      </top>
      <bottom/>
      <diagonal/>
    </border>
    <border>
      <left style="thin">
        <color indexed="64"/>
      </left>
      <right style="thin">
        <color indexed="64"/>
      </right>
      <top style="thin">
        <color rgb="FF000000"/>
      </top>
      <bottom/>
      <diagonal/>
    </border>
    <border>
      <left style="thin">
        <color indexed="64"/>
      </left>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style="medium">
        <color rgb="FF000000"/>
      </right>
      <top style="thin">
        <color rgb="FF000000"/>
      </top>
      <bottom/>
      <diagonal/>
    </border>
  </borders>
  <cellStyleXfs count="7">
    <xf numFmtId="0" fontId="0" fillId="0" borderId="0"/>
    <xf numFmtId="0" fontId="5" fillId="0" borderId="0"/>
    <xf numFmtId="0" fontId="3" fillId="0" borderId="0"/>
    <xf numFmtId="0" fontId="17" fillId="6" borderId="0" applyNumberFormat="0" applyBorder="0" applyAlignment="0" applyProtection="0"/>
    <xf numFmtId="0" fontId="19" fillId="7" borderId="0" applyNumberFormat="0" applyBorder="0" applyAlignment="0" applyProtection="0"/>
    <xf numFmtId="0" fontId="20" fillId="8" borderId="0" applyNumberFormat="0" applyBorder="0" applyAlignment="0" applyProtection="0"/>
    <xf numFmtId="9" fontId="33" fillId="0" borderId="0" applyFont="0" applyFill="0" applyBorder="0" applyAlignment="0" applyProtection="0"/>
  </cellStyleXfs>
  <cellXfs count="331">
    <xf numFmtId="0" fontId="0" fillId="0" borderId="0" xfId="0"/>
    <xf numFmtId="0" fontId="4" fillId="0" borderId="11" xfId="0" applyFont="1" applyBorder="1" applyAlignment="1">
      <alignment horizontal="center" vertical="center" wrapText="1"/>
    </xf>
    <xf numFmtId="0" fontId="0" fillId="0" borderId="11" xfId="0" applyBorder="1" applyAlignment="1">
      <alignment horizontal="center" vertical="center"/>
    </xf>
    <xf numFmtId="0" fontId="0" fillId="0" borderId="11" xfId="0" applyBorder="1"/>
    <xf numFmtId="0" fontId="1" fillId="0" borderId="11" xfId="0" applyFont="1" applyBorder="1" applyAlignment="1">
      <alignment horizontal="center" vertical="center" wrapText="1"/>
    </xf>
    <xf numFmtId="0" fontId="0" fillId="0" borderId="11" xfId="0" applyBorder="1" applyAlignment="1">
      <alignment horizontal="center" vertical="center" wrapText="1"/>
    </xf>
    <xf numFmtId="0" fontId="4" fillId="0" borderId="13" xfId="0" applyFont="1" applyBorder="1" applyAlignment="1">
      <alignment horizontal="center" vertical="center" wrapText="1"/>
    </xf>
    <xf numFmtId="0" fontId="4" fillId="0" borderId="12" xfId="0" applyFont="1" applyBorder="1" applyAlignment="1">
      <alignment horizontal="center" vertical="center" wrapText="1"/>
    </xf>
    <xf numFmtId="0" fontId="1" fillId="0" borderId="1" xfId="0" applyFont="1" applyBorder="1" applyAlignment="1">
      <alignment horizontal="center" vertical="center" wrapText="1"/>
    </xf>
    <xf numFmtId="0" fontId="0" fillId="0" borderId="11" xfId="0" applyBorder="1" applyAlignment="1">
      <alignment horizontal="left"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2" xfId="0" applyBorder="1" applyAlignment="1">
      <alignment horizontal="center" vertical="center"/>
    </xf>
    <xf numFmtId="0" fontId="4" fillId="0" borderId="18" xfId="0" applyFont="1" applyBorder="1" applyAlignment="1">
      <alignment horizontal="center" vertical="center" wrapText="1"/>
    </xf>
    <xf numFmtId="0" fontId="0" fillId="0" borderId="0" xfId="0" applyAlignment="1">
      <alignment vertical="center" wrapText="1"/>
    </xf>
    <xf numFmtId="0" fontId="4" fillId="0" borderId="11" xfId="0" quotePrefix="1" applyFont="1" applyBorder="1" applyAlignment="1">
      <alignment horizontal="center" vertical="center" wrapText="1"/>
    </xf>
    <xf numFmtId="0" fontId="4" fillId="2" borderId="11"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0" fillId="0" borderId="11" xfId="0" applyBorder="1" applyAlignment="1">
      <alignment vertical="center" wrapText="1"/>
    </xf>
    <xf numFmtId="0" fontId="0" fillId="0" borderId="12" xfId="0" applyBorder="1" applyAlignment="1">
      <alignment horizontal="center" vertical="center" wrapText="1"/>
    </xf>
    <xf numFmtId="0" fontId="7" fillId="0" borderId="12" xfId="0" applyFont="1" applyBorder="1" applyAlignment="1">
      <alignment horizontal="center"/>
    </xf>
    <xf numFmtId="0" fontId="0" fillId="0" borderId="10" xfId="0" applyBorder="1" applyAlignment="1">
      <alignment horizontal="center" vertical="center"/>
    </xf>
    <xf numFmtId="0" fontId="0" fillId="0" borderId="17" xfId="0" applyBorder="1" applyAlignment="1">
      <alignment horizontal="center" vertical="center"/>
    </xf>
    <xf numFmtId="0" fontId="2" fillId="0" borderId="3" xfId="0" applyFont="1" applyBorder="1" applyAlignment="1">
      <alignment horizontal="center" vertical="center" wrapText="1"/>
    </xf>
    <xf numFmtId="0" fontId="0" fillId="0" borderId="11" xfId="0" quotePrefix="1" applyBorder="1" applyAlignment="1">
      <alignment horizontal="center" vertical="center"/>
    </xf>
    <xf numFmtId="0" fontId="7" fillId="0" borderId="11" xfId="0" applyFont="1" applyBorder="1" applyAlignment="1">
      <alignment horizont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3" xfId="0" applyFont="1" applyBorder="1" applyAlignment="1">
      <alignment horizontal="center" vertical="center" wrapText="1"/>
    </xf>
    <xf numFmtId="0" fontId="0" fillId="0" borderId="16" xfId="0" applyBorder="1" applyAlignment="1">
      <alignment horizontal="center" vertical="center"/>
    </xf>
    <xf numFmtId="0" fontId="1" fillId="0" borderId="28"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0" xfId="0" applyFont="1" applyBorder="1" applyAlignment="1">
      <alignment horizontal="center" vertical="center" wrapText="1"/>
    </xf>
    <xf numFmtId="0" fontId="9" fillId="0" borderId="0" xfId="0" applyFont="1"/>
    <xf numFmtId="0" fontId="11" fillId="0" borderId="25" xfId="0" applyFont="1" applyBorder="1" applyAlignment="1">
      <alignment horizontal="justify" vertical="center"/>
    </xf>
    <xf numFmtId="0" fontId="11" fillId="0" borderId="27" xfId="0" applyFont="1" applyBorder="1" applyAlignment="1">
      <alignment horizontal="justify" vertical="center"/>
    </xf>
    <xf numFmtId="0" fontId="12" fillId="0" borderId="0" xfId="0" applyFont="1" applyAlignment="1">
      <alignment vertical="center" wrapText="1"/>
    </xf>
    <xf numFmtId="0" fontId="13" fillId="0" borderId="37" xfId="0" applyFont="1" applyBorder="1" applyAlignment="1">
      <alignment horizontal="center" vertical="center"/>
    </xf>
    <xf numFmtId="0" fontId="13" fillId="0" borderId="27" xfId="0" applyFont="1" applyBorder="1" applyAlignment="1">
      <alignment horizontal="justify" vertical="center" wrapText="1"/>
    </xf>
    <xf numFmtId="0" fontId="13" fillId="0" borderId="27" xfId="0" applyFont="1" applyBorder="1" applyAlignment="1">
      <alignment horizontal="justify" vertical="center"/>
    </xf>
    <xf numFmtId="0" fontId="10" fillId="0" borderId="27" xfId="0" applyFont="1" applyBorder="1" applyAlignment="1">
      <alignment horizontal="justify" vertical="center"/>
    </xf>
    <xf numFmtId="0" fontId="13" fillId="0" borderId="27" xfId="0" applyFont="1" applyBorder="1" applyAlignment="1">
      <alignment horizontal="center" vertical="center"/>
    </xf>
    <xf numFmtId="0" fontId="13" fillId="0" borderId="36" xfId="0" applyFont="1" applyBorder="1" applyAlignment="1">
      <alignment horizontal="center" vertical="center"/>
    </xf>
    <xf numFmtId="0" fontId="13" fillId="0" borderId="25" xfId="0" applyFont="1" applyBorder="1" applyAlignment="1">
      <alignment horizontal="justify" vertical="center"/>
    </xf>
    <xf numFmtId="0" fontId="0" fillId="0" borderId="25" xfId="0" applyBorder="1" applyAlignment="1">
      <alignment vertical="center"/>
    </xf>
    <xf numFmtId="0" fontId="0" fillId="0" borderId="27" xfId="0" applyBorder="1" applyAlignment="1">
      <alignment vertical="center"/>
    </xf>
    <xf numFmtId="0" fontId="13" fillId="0" borderId="25" xfId="0" applyFont="1" applyBorder="1" applyAlignment="1">
      <alignment horizontal="left" vertical="center" indent="4"/>
    </xf>
    <xf numFmtId="0" fontId="13" fillId="0" borderId="27" xfId="0" applyFont="1" applyBorder="1" applyAlignment="1">
      <alignment horizontal="left" vertical="center" indent="4"/>
    </xf>
    <xf numFmtId="0" fontId="13" fillId="0" borderId="25" xfId="0" applyFont="1" applyBorder="1" applyAlignment="1">
      <alignment horizontal="center" vertical="center"/>
    </xf>
    <xf numFmtId="0" fontId="13" fillId="0" borderId="27" xfId="0" applyFont="1" applyBorder="1" applyAlignment="1">
      <alignment horizontal="center" vertical="center" wrapText="1"/>
    </xf>
    <xf numFmtId="0" fontId="14" fillId="0" borderId="0" xfId="0" applyFont="1" applyAlignment="1">
      <alignment horizontal="justify" vertical="center"/>
    </xf>
    <xf numFmtId="0" fontId="16" fillId="0" borderId="31" xfId="0" applyFont="1" applyBorder="1" applyAlignment="1">
      <alignment horizontal="justify" vertical="center"/>
    </xf>
    <xf numFmtId="0" fontId="16" fillId="0" borderId="40" xfId="0" applyFont="1" applyBorder="1" applyAlignment="1">
      <alignment horizontal="justify" vertical="center"/>
    </xf>
    <xf numFmtId="0" fontId="16" fillId="0" borderId="32" xfId="0" applyFont="1" applyBorder="1" applyAlignment="1">
      <alignment horizontal="justify" vertical="center"/>
    </xf>
    <xf numFmtId="0" fontId="3" fillId="0" borderId="38" xfId="0" applyFont="1" applyBorder="1" applyAlignment="1">
      <alignment horizontal="center" vertical="center" wrapText="1"/>
    </xf>
    <xf numFmtId="0" fontId="3" fillId="0" borderId="1" xfId="0" applyFont="1" applyBorder="1" applyAlignment="1">
      <alignment horizontal="center" vertical="center" wrapText="1"/>
    </xf>
    <xf numFmtId="0" fontId="10" fillId="0" borderId="2" xfId="0" applyFont="1" applyBorder="1"/>
    <xf numFmtId="0" fontId="3" fillId="0" borderId="43" xfId="0" applyFont="1" applyBorder="1" applyAlignment="1">
      <alignment horizontal="center" vertical="center" wrapText="1"/>
    </xf>
    <xf numFmtId="0" fontId="3" fillId="0" borderId="11" xfId="0" applyFont="1" applyBorder="1" applyAlignment="1">
      <alignment horizontal="center" vertical="center" wrapText="1"/>
    </xf>
    <xf numFmtId="0" fontId="10" fillId="0" borderId="44" xfId="0" applyFont="1" applyBorder="1"/>
    <xf numFmtId="0" fontId="10" fillId="0" borderId="11" xfId="0" applyFont="1" applyBorder="1" applyAlignment="1">
      <alignment horizontal="center" vertical="center"/>
    </xf>
    <xf numFmtId="0" fontId="3" fillId="0" borderId="41" xfId="0" applyFont="1" applyBorder="1" applyAlignment="1">
      <alignment horizontal="center" vertical="center" wrapText="1"/>
    </xf>
    <xf numFmtId="0" fontId="3" fillId="0" borderId="3" xfId="0" applyFont="1" applyBorder="1" applyAlignment="1">
      <alignment horizontal="center" vertical="center" wrapText="1"/>
    </xf>
    <xf numFmtId="0" fontId="10" fillId="0" borderId="4" xfId="0" applyFont="1" applyBorder="1"/>
    <xf numFmtId="0" fontId="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40" xfId="0" applyFont="1" applyBorder="1" applyAlignment="1">
      <alignment horizontal="center" vertical="center" wrapText="1"/>
    </xf>
    <xf numFmtId="0" fontId="0" fillId="0" borderId="45" xfId="0" applyBorder="1"/>
    <xf numFmtId="0" fontId="1" fillId="0" borderId="18" xfId="0" applyFont="1" applyBorder="1" applyAlignment="1">
      <alignment horizontal="center" vertical="center" wrapText="1"/>
    </xf>
    <xf numFmtId="0" fontId="12" fillId="0" borderId="18" xfId="0" applyFont="1" applyBorder="1" applyAlignment="1">
      <alignment horizontal="left" vertical="center" wrapText="1"/>
    </xf>
    <xf numFmtId="0" fontId="12" fillId="0" borderId="18" xfId="0" applyFont="1" applyBorder="1" applyAlignment="1">
      <alignment vertical="center"/>
    </xf>
    <xf numFmtId="0" fontId="12" fillId="0" borderId="18" xfId="0" applyFont="1" applyBorder="1" applyAlignment="1">
      <alignment horizontal="center" vertical="center" wrapText="1"/>
    </xf>
    <xf numFmtId="0" fontId="12" fillId="0" borderId="0" xfId="0" applyFont="1"/>
    <xf numFmtId="0" fontId="12" fillId="5" borderId="18" xfId="0" applyFont="1" applyFill="1" applyBorder="1" applyAlignment="1">
      <alignment horizontal="center" vertical="center"/>
    </xf>
    <xf numFmtId="0" fontId="12" fillId="5" borderId="11" xfId="0" applyFont="1" applyFill="1" applyBorder="1" applyAlignment="1">
      <alignment horizontal="center" vertical="center"/>
    </xf>
    <xf numFmtId="0" fontId="12" fillId="2" borderId="11" xfId="0" applyFont="1" applyFill="1" applyBorder="1" applyAlignment="1">
      <alignment horizontal="center" vertical="center"/>
    </xf>
    <xf numFmtId="0" fontId="12" fillId="4" borderId="11" xfId="0" applyFont="1" applyFill="1" applyBorder="1" applyAlignment="1">
      <alignment horizontal="center" vertical="center"/>
    </xf>
    <xf numFmtId="0" fontId="12" fillId="0" borderId="11" xfId="0" applyFont="1" applyBorder="1" applyAlignment="1">
      <alignment horizontal="center" vertical="center"/>
    </xf>
    <xf numFmtId="0" fontId="12" fillId="0" borderId="0" xfId="0" applyFont="1" applyAlignment="1">
      <alignment horizontal="center" vertical="center"/>
    </xf>
    <xf numFmtId="0" fontId="12" fillId="0" borderId="11" xfId="0" applyFont="1" applyBorder="1" applyAlignment="1">
      <alignment horizontal="left" vertical="center" wrapText="1"/>
    </xf>
    <xf numFmtId="0" fontId="12" fillId="0" borderId="11" xfId="0" applyFont="1" applyBorder="1" applyAlignment="1">
      <alignment vertical="center"/>
    </xf>
    <xf numFmtId="0" fontId="12" fillId="0" borderId="11" xfId="0" applyFont="1" applyBorder="1" applyAlignment="1">
      <alignment horizontal="center" vertical="center" wrapText="1"/>
    </xf>
    <xf numFmtId="0" fontId="12" fillId="0" borderId="11" xfId="0" applyFont="1" applyBorder="1" applyAlignment="1">
      <alignment vertical="center" wrapText="1"/>
    </xf>
    <xf numFmtId="0" fontId="0" fillId="0" borderId="0" xfId="0" applyAlignment="1">
      <alignment horizontal="center" vertical="center"/>
    </xf>
    <xf numFmtId="0" fontId="17" fillId="6" borderId="11" xfId="3" applyBorder="1" applyAlignment="1">
      <alignment horizontal="center" vertical="center"/>
    </xf>
    <xf numFmtId="0" fontId="22" fillId="0" borderId="0" xfId="0" applyFont="1" applyAlignment="1">
      <alignment horizontal="center" vertical="center"/>
    </xf>
    <xf numFmtId="0" fontId="0" fillId="0" borderId="44" xfId="0" applyBorder="1"/>
    <xf numFmtId="0" fontId="0" fillId="0" borderId="3" xfId="0" applyBorder="1"/>
    <xf numFmtId="0" fontId="0" fillId="0" borderId="4" xfId="0" applyBorder="1"/>
    <xf numFmtId="0" fontId="22" fillId="0" borderId="48" xfId="0" applyFont="1" applyBorder="1" applyAlignment="1">
      <alignment horizontal="center" vertical="center"/>
    </xf>
    <xf numFmtId="0" fontId="0" fillId="0" borderId="43" xfId="0" applyBorder="1"/>
    <xf numFmtId="0" fontId="0" fillId="0" borderId="41" xfId="0" applyBorder="1"/>
    <xf numFmtId="0" fontId="21" fillId="0" borderId="49" xfId="0" applyFont="1" applyBorder="1" applyAlignment="1">
      <alignment horizontal="center" vertical="center"/>
    </xf>
    <xf numFmtId="0" fontId="21" fillId="0" borderId="13" xfId="0" applyFont="1" applyBorder="1" applyAlignment="1">
      <alignment horizontal="center" vertical="center"/>
    </xf>
    <xf numFmtId="0" fontId="21" fillId="0" borderId="50" xfId="0" applyFont="1" applyBorder="1" applyAlignment="1">
      <alignment horizontal="center" vertical="center"/>
    </xf>
    <xf numFmtId="0" fontId="0" fillId="0" borderId="38" xfId="0" applyBorder="1"/>
    <xf numFmtId="0" fontId="0" fillId="0" borderId="1" xfId="0" applyBorder="1"/>
    <xf numFmtId="0" fontId="0" fillId="0" borderId="8" xfId="0" applyBorder="1"/>
    <xf numFmtId="0" fontId="0" fillId="0" borderId="42" xfId="0" applyBorder="1"/>
    <xf numFmtId="0" fontId="0" fillId="0" borderId="2" xfId="0" applyBorder="1"/>
    <xf numFmtId="0" fontId="19" fillId="7" borderId="1" xfId="4" applyBorder="1" applyAlignment="1">
      <alignment wrapText="1"/>
    </xf>
    <xf numFmtId="0" fontId="20" fillId="8" borderId="1" xfId="5" applyBorder="1" applyAlignment="1">
      <alignment wrapText="1"/>
    </xf>
    <xf numFmtId="0" fontId="19" fillId="7" borderId="11" xfId="4" applyBorder="1" applyAlignment="1">
      <alignment wrapText="1"/>
    </xf>
    <xf numFmtId="0" fontId="17" fillId="6" borderId="11" xfId="3" applyBorder="1" applyAlignment="1">
      <alignment wrapText="1"/>
    </xf>
    <xf numFmtId="0" fontId="17" fillId="6" borderId="39" xfId="3" applyBorder="1" applyAlignment="1">
      <alignment wrapText="1"/>
    </xf>
    <xf numFmtId="0" fontId="17" fillId="6" borderId="1" xfId="3" applyBorder="1" applyAlignment="1">
      <alignment wrapText="1"/>
    </xf>
    <xf numFmtId="0" fontId="19" fillId="7" borderId="8" xfId="4" applyBorder="1" applyAlignment="1">
      <alignment wrapText="1"/>
    </xf>
    <xf numFmtId="0" fontId="19" fillId="7" borderId="38" xfId="4" applyBorder="1" applyAlignment="1">
      <alignment wrapText="1"/>
    </xf>
    <xf numFmtId="0" fontId="17" fillId="6" borderId="8" xfId="3" applyBorder="1" applyAlignment="1">
      <alignment wrapText="1"/>
    </xf>
    <xf numFmtId="0" fontId="17" fillId="6" borderId="43" xfId="3" applyBorder="1" applyAlignment="1">
      <alignment wrapText="1"/>
    </xf>
    <xf numFmtId="0" fontId="3" fillId="11" borderId="18" xfId="0" applyFont="1" applyFill="1" applyBorder="1" applyAlignment="1">
      <alignment horizontal="center" vertical="center" wrapText="1"/>
    </xf>
    <xf numFmtId="0" fontId="3" fillId="11" borderId="11" xfId="0" applyFont="1" applyFill="1" applyBorder="1" applyAlignment="1">
      <alignment horizontal="center" vertical="center" wrapText="1"/>
    </xf>
    <xf numFmtId="0" fontId="12" fillId="11" borderId="11"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4" fillId="12" borderId="11" xfId="0" applyFont="1" applyFill="1" applyBorder="1" applyAlignment="1">
      <alignment horizontal="center" vertical="center" wrapText="1"/>
    </xf>
    <xf numFmtId="0" fontId="12" fillId="12" borderId="11" xfId="0" applyFont="1" applyFill="1" applyBorder="1" applyAlignment="1">
      <alignment horizontal="left" vertical="center" wrapText="1"/>
    </xf>
    <xf numFmtId="0" fontId="3" fillId="12" borderId="11" xfId="0" applyFont="1" applyFill="1" applyBorder="1" applyAlignment="1">
      <alignment horizontal="center" vertical="center" wrapText="1"/>
    </xf>
    <xf numFmtId="0" fontId="4" fillId="12" borderId="12" xfId="0" applyFont="1" applyFill="1" applyBorder="1" applyAlignment="1">
      <alignment horizontal="center" vertical="center" wrapText="1"/>
    </xf>
    <xf numFmtId="0" fontId="12" fillId="12" borderId="12" xfId="0" applyFont="1" applyFill="1" applyBorder="1" applyAlignment="1">
      <alignment horizontal="left" vertical="center" wrapText="1"/>
    </xf>
    <xf numFmtId="0" fontId="3" fillId="12" borderId="12" xfId="0" applyFont="1" applyFill="1" applyBorder="1" applyAlignment="1">
      <alignment horizontal="center" vertical="center" wrapText="1"/>
    </xf>
    <xf numFmtId="0" fontId="3" fillId="13" borderId="11" xfId="0" applyFont="1" applyFill="1" applyBorder="1" applyAlignment="1">
      <alignment horizontal="center" vertical="center" wrapText="1"/>
    </xf>
    <xf numFmtId="0" fontId="12" fillId="13" borderId="11" xfId="0" applyFont="1" applyFill="1" applyBorder="1" applyAlignment="1">
      <alignment horizontal="center" vertical="center" wrapText="1"/>
    </xf>
    <xf numFmtId="0" fontId="12" fillId="13" borderId="18" xfId="0" applyFont="1" applyFill="1" applyBorder="1" applyAlignment="1">
      <alignment horizontal="center" vertical="center" wrapText="1"/>
    </xf>
    <xf numFmtId="0" fontId="12" fillId="13" borderId="8" xfId="0" applyFont="1" applyFill="1" applyBorder="1" applyAlignment="1">
      <alignment vertical="center" wrapText="1"/>
    </xf>
    <xf numFmtId="0" fontId="12" fillId="11" borderId="11" xfId="0" applyFont="1" applyFill="1" applyBorder="1" applyAlignment="1">
      <alignment vertical="center" wrapText="1"/>
    </xf>
    <xf numFmtId="0" fontId="12" fillId="11" borderId="8" xfId="0" applyFont="1" applyFill="1" applyBorder="1" applyAlignment="1">
      <alignment vertical="center" wrapText="1"/>
    </xf>
    <xf numFmtId="0" fontId="27" fillId="12" borderId="11" xfId="0" applyFont="1" applyFill="1" applyBorder="1" applyAlignment="1">
      <alignment horizontal="center" vertical="center" wrapText="1"/>
    </xf>
    <xf numFmtId="15" fontId="3" fillId="12" borderId="11" xfId="0" applyNumberFormat="1" applyFont="1" applyFill="1" applyBorder="1" applyAlignment="1">
      <alignment horizontal="center" vertical="center" wrapText="1"/>
    </xf>
    <xf numFmtId="0" fontId="28" fillId="11" borderId="11" xfId="0" applyFont="1" applyFill="1" applyBorder="1" applyAlignment="1">
      <alignment vertical="center" wrapText="1"/>
    </xf>
    <xf numFmtId="0" fontId="28" fillId="11" borderId="11" xfId="0" applyFont="1" applyFill="1" applyBorder="1" applyAlignment="1">
      <alignment horizontal="center" vertical="center" wrapText="1"/>
    </xf>
    <xf numFmtId="0" fontId="28" fillId="13" borderId="11" xfId="0" applyFont="1" applyFill="1" applyBorder="1" applyAlignment="1">
      <alignment horizontal="center" vertical="center" wrapText="1"/>
    </xf>
    <xf numFmtId="0" fontId="29" fillId="11" borderId="18" xfId="0" applyFont="1" applyFill="1" applyBorder="1" applyAlignment="1">
      <alignment horizontal="center" vertical="center" wrapText="1"/>
    </xf>
    <xf numFmtId="0" fontId="29" fillId="11" borderId="11" xfId="0" applyFont="1" applyFill="1" applyBorder="1" applyAlignment="1">
      <alignment horizontal="center" vertical="center" wrapText="1"/>
    </xf>
    <xf numFmtId="0" fontId="3" fillId="12" borderId="13" xfId="0" applyFont="1" applyFill="1" applyBorder="1" applyAlignment="1">
      <alignment horizontal="center" vertical="center" wrapText="1"/>
    </xf>
    <xf numFmtId="9" fontId="3" fillId="13" borderId="18" xfId="0" applyNumberFormat="1" applyFont="1" applyFill="1" applyBorder="1" applyAlignment="1">
      <alignment horizontal="center" vertical="center" wrapText="1"/>
    </xf>
    <xf numFmtId="0" fontId="28" fillId="13" borderId="18" xfId="0" applyFont="1" applyFill="1" applyBorder="1" applyAlignment="1">
      <alignment horizontal="center" vertical="center" wrapText="1"/>
    </xf>
    <xf numFmtId="0" fontId="28" fillId="13" borderId="11" xfId="0" applyFont="1" applyFill="1" applyBorder="1" applyAlignment="1">
      <alignment horizontal="left" vertical="center" wrapText="1"/>
    </xf>
    <xf numFmtId="0" fontId="28" fillId="11" borderId="11" xfId="0" applyFont="1" applyFill="1" applyBorder="1" applyAlignment="1">
      <alignment horizontal="left" vertical="center" wrapText="1"/>
    </xf>
    <xf numFmtId="0" fontId="4" fillId="13" borderId="11" xfId="0" applyFont="1" applyFill="1" applyBorder="1" applyAlignment="1">
      <alignment horizontal="center" vertical="center" wrapText="1"/>
    </xf>
    <xf numFmtId="0" fontId="4" fillId="11" borderId="11" xfId="0" applyFont="1" applyFill="1" applyBorder="1" applyAlignment="1">
      <alignment horizontal="center" vertical="center" wrapText="1"/>
    </xf>
    <xf numFmtId="10" fontId="4" fillId="11" borderId="18" xfId="0" applyNumberFormat="1" applyFont="1" applyFill="1" applyBorder="1" applyAlignment="1">
      <alignment horizontal="center" vertical="center" wrapText="1"/>
    </xf>
    <xf numFmtId="10" fontId="28" fillId="11" borderId="18" xfId="0" applyNumberFormat="1" applyFont="1" applyFill="1" applyBorder="1" applyAlignment="1">
      <alignment horizontal="center" vertical="center" wrapText="1"/>
    </xf>
    <xf numFmtId="0" fontId="12" fillId="13" borderId="57" xfId="0" applyFont="1" applyFill="1" applyBorder="1" applyAlignment="1">
      <alignment horizontal="center" vertical="center" readingOrder="1"/>
    </xf>
    <xf numFmtId="0" fontId="28" fillId="13" borderId="11" xfId="6" applyNumberFormat="1" applyFont="1" applyFill="1" applyBorder="1" applyAlignment="1">
      <alignment horizontal="center" vertical="center" wrapText="1"/>
    </xf>
    <xf numFmtId="0" fontId="28" fillId="13" borderId="9" xfId="0" applyFont="1" applyFill="1" applyBorder="1" applyAlignment="1">
      <alignment horizontal="center" vertical="center" wrapText="1"/>
    </xf>
    <xf numFmtId="9" fontId="28" fillId="11" borderId="18" xfId="0" applyNumberFormat="1" applyFont="1" applyFill="1" applyBorder="1" applyAlignment="1">
      <alignment horizontal="center" vertical="center" wrapText="1"/>
    </xf>
    <xf numFmtId="9" fontId="4" fillId="11" borderId="18" xfId="0" applyNumberFormat="1" applyFont="1" applyFill="1" applyBorder="1" applyAlignment="1">
      <alignment horizontal="center" vertical="center" wrapText="1"/>
    </xf>
    <xf numFmtId="0" fontId="27" fillId="11" borderId="11" xfId="0" applyFont="1" applyFill="1" applyBorder="1" applyAlignment="1">
      <alignment horizontal="center" vertical="center" wrapText="1"/>
    </xf>
    <xf numFmtId="0" fontId="27" fillId="12" borderId="12" xfId="0" applyFont="1" applyFill="1" applyBorder="1" applyAlignment="1">
      <alignment horizontal="center" vertical="center" wrapText="1"/>
    </xf>
    <xf numFmtId="0" fontId="29" fillId="11" borderId="13" xfId="0" applyFont="1" applyFill="1" applyBorder="1" applyAlignment="1">
      <alignment horizontal="center" vertical="center" wrapText="1"/>
    </xf>
    <xf numFmtId="9" fontId="3" fillId="13" borderId="13" xfId="0" applyNumberFormat="1" applyFont="1" applyFill="1" applyBorder="1" applyAlignment="1">
      <alignment horizontal="center" vertical="center" wrapText="1"/>
    </xf>
    <xf numFmtId="0" fontId="3" fillId="13" borderId="12" xfId="0" applyFont="1" applyFill="1" applyBorder="1" applyAlignment="1">
      <alignment horizontal="center" vertical="center" wrapText="1"/>
    </xf>
    <xf numFmtId="0" fontId="12" fillId="13" borderId="13" xfId="0" applyFont="1" applyFill="1" applyBorder="1" applyAlignment="1">
      <alignment horizontal="center" vertical="center" wrapText="1"/>
    </xf>
    <xf numFmtId="0" fontId="12" fillId="11" borderId="14" xfId="0" applyFont="1" applyFill="1" applyBorder="1" applyAlignment="1">
      <alignment vertical="center" wrapText="1"/>
    </xf>
    <xf numFmtId="0" fontId="12" fillId="13" borderId="14" xfId="0" applyFont="1" applyFill="1" applyBorder="1" applyAlignment="1">
      <alignment vertical="center" wrapText="1"/>
    </xf>
    <xf numFmtId="10" fontId="28" fillId="11" borderId="13" xfId="0" applyNumberFormat="1" applyFont="1" applyFill="1" applyBorder="1" applyAlignment="1">
      <alignment horizontal="center" vertical="center" wrapText="1"/>
    </xf>
    <xf numFmtId="0" fontId="28" fillId="11" borderId="12" xfId="0" applyFont="1" applyFill="1" applyBorder="1" applyAlignment="1">
      <alignment horizontal="center" vertical="center" wrapText="1"/>
    </xf>
    <xf numFmtId="0" fontId="28" fillId="13" borderId="15" xfId="0" applyFont="1" applyFill="1" applyBorder="1" applyAlignment="1">
      <alignment horizontal="center" vertical="center" wrapText="1"/>
    </xf>
    <xf numFmtId="0" fontId="12" fillId="13" borderId="58" xfId="0" applyFont="1" applyFill="1" applyBorder="1" applyAlignment="1">
      <alignment horizontal="center" vertical="center" readingOrder="1"/>
    </xf>
    <xf numFmtId="0" fontId="1" fillId="0" borderId="59" xfId="0" applyFont="1" applyBorder="1" applyAlignment="1">
      <alignment horizontal="center" vertical="center" wrapText="1"/>
    </xf>
    <xf numFmtId="0" fontId="4" fillId="12" borderId="60" xfId="0" applyFont="1" applyFill="1" applyBorder="1" applyAlignment="1">
      <alignment horizontal="center" vertical="center" wrapText="1"/>
    </xf>
    <xf numFmtId="0" fontId="12" fillId="12" borderId="60" xfId="0" applyFont="1" applyFill="1" applyBorder="1" applyAlignment="1">
      <alignment horizontal="left" vertical="center" wrapText="1"/>
    </xf>
    <xf numFmtId="0" fontId="3" fillId="12" borderId="60" xfId="0" applyFont="1" applyFill="1" applyBorder="1" applyAlignment="1">
      <alignment horizontal="center" vertical="center" wrapText="1"/>
    </xf>
    <xf numFmtId="0" fontId="3" fillId="11" borderId="60" xfId="0" applyFont="1" applyFill="1" applyBorder="1" applyAlignment="1">
      <alignment horizontal="center" vertical="center" wrapText="1"/>
    </xf>
    <xf numFmtId="0" fontId="29" fillId="11" borderId="60" xfId="0" applyFont="1" applyFill="1" applyBorder="1" applyAlignment="1">
      <alignment horizontal="center" vertical="center" wrapText="1"/>
    </xf>
    <xf numFmtId="9" fontId="3" fillId="13" borderId="60" xfId="0" applyNumberFormat="1" applyFont="1" applyFill="1" applyBorder="1" applyAlignment="1">
      <alignment horizontal="center" vertical="center" wrapText="1"/>
    </xf>
    <xf numFmtId="0" fontId="3" fillId="13" borderId="60" xfId="0" applyFont="1" applyFill="1" applyBorder="1" applyAlignment="1">
      <alignment horizontal="center" vertical="center" wrapText="1"/>
    </xf>
    <xf numFmtId="0" fontId="12" fillId="13" borderId="60" xfId="0" applyFont="1" applyFill="1" applyBorder="1" applyAlignment="1">
      <alignment horizontal="center" vertical="center" wrapText="1"/>
    </xf>
    <xf numFmtId="0" fontId="28" fillId="11" borderId="60" xfId="0" applyFont="1" applyFill="1" applyBorder="1" applyAlignment="1">
      <alignment horizontal="center" vertical="center" wrapText="1"/>
    </xf>
    <xf numFmtId="0" fontId="28" fillId="13" borderId="60" xfId="0" applyFont="1" applyFill="1" applyBorder="1" applyAlignment="1">
      <alignment horizontal="center" vertical="center" wrapText="1"/>
    </xf>
    <xf numFmtId="9" fontId="28" fillId="11" borderId="60" xfId="0" applyNumberFormat="1" applyFont="1" applyFill="1" applyBorder="1" applyAlignment="1">
      <alignment horizontal="center" vertical="center" wrapText="1"/>
    </xf>
    <xf numFmtId="0" fontId="12" fillId="13" borderId="61" xfId="0" applyFont="1" applyFill="1" applyBorder="1" applyAlignment="1">
      <alignment horizontal="center" vertical="center" readingOrder="1"/>
    </xf>
    <xf numFmtId="0" fontId="1" fillId="0" borderId="63" xfId="0" applyFont="1" applyBorder="1" applyAlignment="1">
      <alignment horizontal="center" vertical="center" wrapText="1"/>
    </xf>
    <xf numFmtId="2" fontId="28" fillId="13" borderId="60" xfId="0" applyNumberFormat="1" applyFont="1" applyFill="1" applyBorder="1" applyAlignment="1">
      <alignment horizontal="center" vertical="center" wrapText="1"/>
    </xf>
    <xf numFmtId="2" fontId="28" fillId="13" borderId="11" xfId="0" applyNumberFormat="1" applyFont="1" applyFill="1" applyBorder="1" applyAlignment="1">
      <alignment horizontal="center" vertical="center" wrapText="1"/>
    </xf>
    <xf numFmtId="0" fontId="1" fillId="0" borderId="69" xfId="0" applyFont="1" applyBorder="1" applyAlignment="1">
      <alignment horizontal="center" vertical="center" wrapText="1"/>
    </xf>
    <xf numFmtId="0" fontId="4" fillId="12" borderId="70" xfId="0" applyFont="1" applyFill="1" applyBorder="1" applyAlignment="1">
      <alignment horizontal="center" vertical="center" wrapText="1"/>
    </xf>
    <xf numFmtId="0" fontId="12" fillId="12" borderId="71" xfId="0" applyFont="1" applyFill="1" applyBorder="1" applyAlignment="1">
      <alignment horizontal="left" vertical="center" wrapText="1"/>
    </xf>
    <xf numFmtId="0" fontId="3" fillId="12" borderId="72" xfId="0" applyFont="1" applyFill="1" applyBorder="1" applyAlignment="1">
      <alignment horizontal="center" vertical="center" wrapText="1"/>
    </xf>
    <xf numFmtId="0" fontId="3" fillId="12" borderId="73" xfId="0" applyFont="1" applyFill="1" applyBorder="1" applyAlignment="1">
      <alignment horizontal="center" vertical="center" wrapText="1"/>
    </xf>
    <xf numFmtId="0" fontId="3" fillId="11" borderId="74" xfId="0" applyFont="1" applyFill="1" applyBorder="1" applyAlignment="1">
      <alignment horizontal="center" vertical="center" wrapText="1"/>
    </xf>
    <xf numFmtId="0" fontId="3" fillId="11" borderId="70" xfId="0" applyFont="1" applyFill="1" applyBorder="1" applyAlignment="1">
      <alignment horizontal="center" vertical="center" wrapText="1"/>
    </xf>
    <xf numFmtId="0" fontId="3" fillId="11" borderId="73" xfId="0" applyFont="1" applyFill="1" applyBorder="1" applyAlignment="1">
      <alignment horizontal="center" vertical="center" wrapText="1"/>
    </xf>
    <xf numFmtId="0" fontId="29" fillId="11" borderId="73" xfId="0" applyFont="1" applyFill="1" applyBorder="1" applyAlignment="1">
      <alignment horizontal="center" vertical="center" wrapText="1"/>
    </xf>
    <xf numFmtId="9" fontId="3" fillId="13" borderId="73" xfId="0" applyNumberFormat="1" applyFont="1" applyFill="1" applyBorder="1" applyAlignment="1">
      <alignment horizontal="center" vertical="center" wrapText="1"/>
    </xf>
    <xf numFmtId="0" fontId="3" fillId="13" borderId="73" xfId="0" applyFont="1" applyFill="1" applyBorder="1" applyAlignment="1">
      <alignment horizontal="center" vertical="center" wrapText="1"/>
    </xf>
    <xf numFmtId="0" fontId="12" fillId="13" borderId="73" xfId="0" applyFont="1" applyFill="1" applyBorder="1" applyAlignment="1">
      <alignment horizontal="center" vertical="center" wrapText="1"/>
    </xf>
    <xf numFmtId="0" fontId="12" fillId="11" borderId="74" xfId="0" applyFont="1" applyFill="1" applyBorder="1" applyAlignment="1">
      <alignment horizontal="center" vertical="center" wrapText="1"/>
    </xf>
    <xf numFmtId="0" fontId="12" fillId="11" borderId="75" xfId="0" applyFont="1" applyFill="1" applyBorder="1" applyAlignment="1">
      <alignment horizontal="center" vertical="center" wrapText="1"/>
    </xf>
    <xf numFmtId="0" fontId="12" fillId="11" borderId="76" xfId="0" applyFont="1" applyFill="1" applyBorder="1" applyAlignment="1">
      <alignment vertical="center" wrapText="1"/>
    </xf>
    <xf numFmtId="0" fontId="12" fillId="11" borderId="74" xfId="0" applyFont="1" applyFill="1" applyBorder="1" applyAlignment="1">
      <alignment vertical="center" wrapText="1"/>
    </xf>
    <xf numFmtId="0" fontId="12" fillId="13" borderId="74" xfId="0" applyFont="1" applyFill="1" applyBorder="1" applyAlignment="1">
      <alignment vertical="center" wrapText="1"/>
    </xf>
    <xf numFmtId="0" fontId="12" fillId="13" borderId="77" xfId="0" applyFont="1" applyFill="1" applyBorder="1" applyAlignment="1">
      <alignment vertical="center" wrapText="1"/>
    </xf>
    <xf numFmtId="10" fontId="28" fillId="11" borderId="73" xfId="0" applyNumberFormat="1" applyFont="1" applyFill="1" applyBorder="1" applyAlignment="1">
      <alignment horizontal="center" vertical="center" wrapText="1"/>
    </xf>
    <xf numFmtId="0" fontId="28" fillId="13" borderId="76" xfId="0" applyFont="1" applyFill="1" applyBorder="1" applyAlignment="1">
      <alignment horizontal="center" vertical="center" wrapText="1"/>
    </xf>
    <xf numFmtId="0" fontId="12" fillId="13" borderId="75" xfId="0" applyFont="1" applyFill="1" applyBorder="1" applyAlignment="1">
      <alignment horizontal="center" vertical="center" readingOrder="1"/>
    </xf>
    <xf numFmtId="9" fontId="3" fillId="13" borderId="11" xfId="0" applyNumberFormat="1" applyFont="1" applyFill="1" applyBorder="1" applyAlignment="1">
      <alignment horizontal="center" vertical="center" wrapText="1"/>
    </xf>
    <xf numFmtId="0" fontId="12" fillId="13" borderId="11" xfId="0" applyFont="1" applyFill="1" applyBorder="1" applyAlignment="1">
      <alignment vertical="center" wrapText="1"/>
    </xf>
    <xf numFmtId="10" fontId="28" fillId="11" borderId="11" xfId="0" applyNumberFormat="1" applyFont="1" applyFill="1" applyBorder="1" applyAlignment="1">
      <alignment horizontal="center" vertical="center" wrapText="1"/>
    </xf>
    <xf numFmtId="0" fontId="12" fillId="13" borderId="11" xfId="0" applyFont="1" applyFill="1" applyBorder="1" applyAlignment="1">
      <alignment horizontal="center" vertical="center" readingOrder="1"/>
    </xf>
    <xf numFmtId="0" fontId="28" fillId="11" borderId="8" xfId="0" applyFont="1" applyFill="1" applyBorder="1" applyAlignment="1">
      <alignment horizontal="center" vertical="center" wrapText="1"/>
    </xf>
    <xf numFmtId="0" fontId="28" fillId="11" borderId="8" xfId="0" applyFont="1" applyFill="1" applyBorder="1" applyAlignment="1">
      <alignment vertical="center" wrapText="1"/>
    </xf>
    <xf numFmtId="0" fontId="28" fillId="11" borderId="14" xfId="0" applyFont="1" applyFill="1" applyBorder="1" applyAlignment="1">
      <alignment horizontal="center" vertical="center" wrapText="1"/>
    </xf>
    <xf numFmtId="0" fontId="28" fillId="11" borderId="14" xfId="0" applyFont="1" applyFill="1" applyBorder="1" applyAlignment="1">
      <alignment vertical="center" wrapText="1"/>
    </xf>
    <xf numFmtId="0" fontId="4" fillId="11" borderId="8" xfId="0" applyFont="1" applyFill="1" applyBorder="1" applyAlignment="1">
      <alignment horizontal="center" vertical="center" wrapText="1"/>
    </xf>
    <xf numFmtId="0" fontId="28" fillId="13" borderId="8" xfId="0" applyFont="1" applyFill="1" applyBorder="1" applyAlignment="1">
      <alignment horizontal="center" vertical="center" wrapText="1"/>
    </xf>
    <xf numFmtId="0" fontId="12" fillId="0" borderId="11" xfId="0" applyFont="1" applyBorder="1" applyAlignment="1">
      <alignment horizontal="center" vertical="center" wrapText="1"/>
    </xf>
    <xf numFmtId="0" fontId="1" fillId="11" borderId="5" xfId="0" applyFont="1" applyFill="1" applyBorder="1" applyAlignment="1">
      <alignment horizontal="center" vertical="center" wrapText="1"/>
    </xf>
    <xf numFmtId="0" fontId="1" fillId="11" borderId="13" xfId="0" applyFont="1" applyFill="1" applyBorder="1" applyAlignment="1">
      <alignment horizontal="center" vertical="center" wrapText="1"/>
    </xf>
    <xf numFmtId="0" fontId="1" fillId="13" borderId="5" xfId="0" applyFont="1" applyFill="1" applyBorder="1" applyAlignment="1">
      <alignment horizontal="center" vertical="center" wrapText="1"/>
    </xf>
    <xf numFmtId="0" fontId="1" fillId="13" borderId="13" xfId="0" applyFont="1" applyFill="1" applyBorder="1" applyAlignment="1">
      <alignment horizontal="center" vertical="center" wrapText="1"/>
    </xf>
    <xf numFmtId="0" fontId="12" fillId="0" borderId="64" xfId="0" applyFont="1" applyBorder="1" applyAlignment="1">
      <alignment horizontal="center" vertical="center" wrapText="1"/>
    </xf>
    <xf numFmtId="0" fontId="26" fillId="0" borderId="51" xfId="0" applyFont="1" applyBorder="1" applyAlignment="1">
      <alignment horizontal="center"/>
    </xf>
    <xf numFmtId="0" fontId="26" fillId="0" borderId="52" xfId="0" applyFont="1" applyBorder="1" applyAlignment="1">
      <alignment horizontal="center"/>
    </xf>
    <xf numFmtId="0" fontId="24" fillId="0" borderId="53" xfId="0" applyFont="1" applyBorder="1" applyAlignment="1">
      <alignment horizontal="center"/>
    </xf>
    <xf numFmtId="0" fontId="24" fillId="0" borderId="54" xfId="0" applyFont="1" applyBorder="1" applyAlignment="1">
      <alignment horizontal="center"/>
    </xf>
    <xf numFmtId="0" fontId="1" fillId="12" borderId="5" xfId="0" applyFont="1" applyFill="1" applyBorder="1" applyAlignment="1">
      <alignment horizontal="center" vertical="center" wrapText="1"/>
    </xf>
    <xf numFmtId="0" fontId="1" fillId="12" borderId="13"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0" borderId="49" xfId="0" applyFont="1" applyBorder="1" applyAlignment="1">
      <alignment horizontal="center" vertical="center" wrapText="1"/>
    </xf>
    <xf numFmtId="0" fontId="0" fillId="12" borderId="13" xfId="0" applyFill="1" applyBorder="1" applyAlignment="1">
      <alignment horizontal="center" vertical="center" wrapText="1"/>
    </xf>
    <xf numFmtId="0" fontId="18" fillId="13" borderId="56" xfId="0" applyFont="1" applyFill="1" applyBorder="1" applyAlignment="1">
      <alignment horizontal="center" vertical="center" wrapText="1"/>
    </xf>
    <xf numFmtId="0" fontId="18" fillId="13" borderId="67" xfId="0" applyFont="1" applyFill="1" applyBorder="1" applyAlignment="1">
      <alignment horizontal="center" vertical="center" wrapText="1"/>
    </xf>
    <xf numFmtId="0" fontId="30" fillId="0" borderId="11" xfId="0" applyFont="1" applyBorder="1" applyAlignment="1">
      <alignment horizontal="center" vertical="center" wrapText="1"/>
    </xf>
    <xf numFmtId="0" fontId="12" fillId="5" borderId="11" xfId="0" applyFont="1" applyFill="1" applyBorder="1" applyAlignment="1">
      <alignment horizontal="center" vertical="center" wrapText="1"/>
    </xf>
    <xf numFmtId="0" fontId="12" fillId="5" borderId="64" xfId="0" applyFont="1" applyFill="1" applyBorder="1" applyAlignment="1">
      <alignment horizontal="center" vertical="center" wrapText="1"/>
    </xf>
    <xf numFmtId="0" fontId="12" fillId="5" borderId="9" xfId="0" applyFont="1" applyFill="1" applyBorder="1" applyAlignment="1">
      <alignment horizontal="center" vertical="center" wrapText="1"/>
    </xf>
    <xf numFmtId="0" fontId="12" fillId="5" borderId="65" xfId="0" applyFont="1" applyFill="1" applyBorder="1" applyAlignment="1">
      <alignment horizontal="center" vertical="center" wrapText="1"/>
    </xf>
    <xf numFmtId="0" fontId="12" fillId="0" borderId="9" xfId="0" applyFont="1" applyBorder="1" applyAlignment="1">
      <alignment horizontal="center" vertical="center" wrapText="1"/>
    </xf>
    <xf numFmtId="0" fontId="12" fillId="0" borderId="65" xfId="0" applyFont="1" applyBorder="1" applyAlignment="1">
      <alignment horizontal="center" vertical="center" wrapText="1"/>
    </xf>
    <xf numFmtId="0" fontId="0" fillId="0" borderId="0" xfId="0" applyAlignment="1">
      <alignment horizontal="center"/>
    </xf>
    <xf numFmtId="0" fontId="32" fillId="0" borderId="54" xfId="0" applyFont="1" applyBorder="1" applyAlignment="1">
      <alignment horizontal="center"/>
    </xf>
    <xf numFmtId="0" fontId="32" fillId="0" borderId="55" xfId="0" applyFont="1" applyBorder="1" applyAlignment="1">
      <alignment horizontal="center"/>
    </xf>
    <xf numFmtId="0" fontId="1" fillId="11" borderId="28" xfId="0" applyFont="1" applyFill="1" applyBorder="1" applyAlignment="1">
      <alignment horizontal="center" vertical="center" wrapText="1"/>
    </xf>
    <xf numFmtId="0" fontId="1" fillId="11" borderId="66" xfId="0" applyFont="1" applyFill="1" applyBorder="1" applyAlignment="1">
      <alignment horizontal="center" vertical="center" wrapText="1"/>
    </xf>
    <xf numFmtId="0" fontId="1" fillId="0" borderId="22" xfId="0" applyFont="1" applyBorder="1" applyAlignment="1">
      <alignment horizontal="center" vertical="center"/>
    </xf>
    <xf numFmtId="0" fontId="1" fillId="0" borderId="29" xfId="0" applyFont="1" applyBorder="1" applyAlignment="1">
      <alignment horizontal="center" vertical="center"/>
    </xf>
    <xf numFmtId="0" fontId="1" fillId="0" borderId="0" xfId="0" applyFont="1" applyAlignment="1">
      <alignment horizontal="center" vertical="center"/>
    </xf>
    <xf numFmtId="0" fontId="1" fillId="0" borderId="68" xfId="0" applyFont="1" applyBorder="1" applyAlignment="1">
      <alignment horizontal="center" vertical="center"/>
    </xf>
    <xf numFmtId="0" fontId="12" fillId="0" borderId="60" xfId="0" applyFont="1" applyBorder="1" applyAlignment="1">
      <alignment horizontal="center" vertical="center" wrapText="1"/>
    </xf>
    <xf numFmtId="0" fontId="12" fillId="0" borderId="62" xfId="0" applyFont="1" applyBorder="1" applyAlignment="1">
      <alignment horizontal="center" vertical="center" wrapText="1"/>
    </xf>
    <xf numFmtId="0" fontId="12" fillId="0" borderId="76" xfId="0" applyFont="1" applyBorder="1" applyAlignment="1">
      <alignment horizontal="center" vertical="center" wrapText="1"/>
    </xf>
    <xf numFmtId="0" fontId="12" fillId="0" borderId="78" xfId="0" applyFont="1" applyBorder="1" applyAlignment="1">
      <alignment horizontal="center" vertical="center" wrapText="1"/>
    </xf>
    <xf numFmtId="0" fontId="18" fillId="0" borderId="46" xfId="0" applyFont="1" applyBorder="1" applyAlignment="1">
      <alignment horizontal="center" vertical="center" wrapText="1"/>
    </xf>
    <xf numFmtId="0" fontId="18" fillId="0" borderId="47"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0" fillId="0" borderId="6" xfId="0" applyBorder="1" applyAlignment="1">
      <alignment horizontal="center" vertical="center" wrapText="1"/>
    </xf>
    <xf numFmtId="0" fontId="17" fillId="6" borderId="0" xfId="3" applyAlignment="1">
      <alignment horizontal="center" vertical="center"/>
    </xf>
    <xf numFmtId="0" fontId="23" fillId="9" borderId="31" xfId="0" applyFont="1" applyFill="1" applyBorder="1" applyAlignment="1">
      <alignment horizontal="center" vertical="center"/>
    </xf>
    <xf numFmtId="0" fontId="23" fillId="9" borderId="40" xfId="0" applyFont="1" applyFill="1" applyBorder="1" applyAlignment="1">
      <alignment horizontal="center" vertical="center"/>
    </xf>
    <xf numFmtId="0" fontId="23" fillId="9" borderId="32" xfId="0" applyFont="1" applyFill="1" applyBorder="1" applyAlignment="1">
      <alignment horizontal="center" vertical="center"/>
    </xf>
    <xf numFmtId="0" fontId="23" fillId="10" borderId="31" xfId="0" applyFont="1" applyFill="1" applyBorder="1" applyAlignment="1">
      <alignment horizontal="center" vertical="center"/>
    </xf>
    <xf numFmtId="0" fontId="23" fillId="10" borderId="40" xfId="0" applyFont="1" applyFill="1" applyBorder="1" applyAlignment="1">
      <alignment horizontal="center" vertical="center"/>
    </xf>
    <xf numFmtId="0" fontId="23" fillId="10" borderId="32" xfId="0" applyFont="1" applyFill="1" applyBorder="1" applyAlignment="1">
      <alignment horizontal="center" vertical="center"/>
    </xf>
    <xf numFmtId="0" fontId="24" fillId="0" borderId="23" xfId="0" applyFont="1" applyBorder="1" applyAlignment="1">
      <alignment horizontal="center" vertical="center"/>
    </xf>
    <xf numFmtId="0" fontId="24" fillId="0" borderId="22" xfId="0" applyFont="1" applyBorder="1" applyAlignment="1">
      <alignment horizontal="center" vertical="center"/>
    </xf>
    <xf numFmtId="0" fontId="24" fillId="0" borderId="24" xfId="0" applyFont="1" applyBorder="1" applyAlignment="1">
      <alignment horizontal="center" vertical="center"/>
    </xf>
    <xf numFmtId="0" fontId="19" fillId="7" borderId="0" xfId="4" applyAlignment="1">
      <alignment horizontal="center" vertical="center" wrapText="1"/>
    </xf>
    <xf numFmtId="0" fontId="20" fillId="8" borderId="0" xfId="5" applyAlignment="1">
      <alignment horizontal="center" wrapText="1"/>
    </xf>
    <xf numFmtId="0" fontId="16" fillId="0" borderId="35" xfId="0" applyFont="1" applyBorder="1" applyAlignment="1">
      <alignment horizontal="center" vertical="center"/>
    </xf>
    <xf numFmtId="0" fontId="16" fillId="0" borderId="37" xfId="0" applyFont="1" applyBorder="1" applyAlignment="1">
      <alignment horizontal="center" vertical="center"/>
    </xf>
    <xf numFmtId="0" fontId="1" fillId="0" borderId="35" xfId="0" applyFont="1" applyBorder="1" applyAlignment="1">
      <alignment horizontal="center" vertical="center" wrapText="1"/>
    </xf>
    <xf numFmtId="0" fontId="1" fillId="0" borderId="37" xfId="0" applyFont="1" applyBorder="1" applyAlignment="1">
      <alignment horizontal="center" vertical="center" wrapText="1"/>
    </xf>
    <xf numFmtId="0" fontId="1" fillId="0" borderId="38"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 xfId="0" applyBorder="1" applyAlignment="1">
      <alignment horizontal="center"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39"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31" xfId="0" applyFont="1" applyBorder="1" applyAlignment="1">
      <alignment horizontal="center" vertical="center" wrapText="1"/>
    </xf>
    <xf numFmtId="0" fontId="4" fillId="0" borderId="40" xfId="0" applyFont="1" applyBorder="1" applyAlignment="1">
      <alignment horizontal="center" vertical="center" wrapText="1"/>
    </xf>
    <xf numFmtId="0" fontId="4" fillId="0" borderId="32" xfId="0" applyFont="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2" xfId="0" applyBorder="1" applyAlignment="1">
      <alignment horizontal="center" vertical="center"/>
    </xf>
    <xf numFmtId="0" fontId="0" fillId="0" borderId="11" xfId="0" applyBorder="1" applyAlignment="1">
      <alignment horizontal="center"/>
    </xf>
    <xf numFmtId="0" fontId="0" fillId="0" borderId="11"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1" xfId="0" applyBorder="1" applyAlignment="1">
      <alignment horizontal="center" vertical="center"/>
    </xf>
    <xf numFmtId="0" fontId="0" fillId="0" borderId="11" xfId="0" applyBorder="1" applyAlignment="1">
      <alignment horizontal="left" vertical="center" wrapText="1"/>
    </xf>
    <xf numFmtId="0" fontId="1" fillId="0" borderId="31" xfId="0" applyFont="1" applyBorder="1" applyAlignment="1">
      <alignment horizontal="center" vertical="center" wrapText="1"/>
    </xf>
    <xf numFmtId="0" fontId="1" fillId="0" borderId="32" xfId="0" applyFont="1" applyBorder="1" applyAlignment="1">
      <alignment horizontal="center" vertical="center" wrapText="1"/>
    </xf>
    <xf numFmtId="0" fontId="3" fillId="0" borderId="11" xfId="0" applyFont="1" applyBorder="1" applyAlignment="1">
      <alignment horizontal="center"/>
    </xf>
    <xf numFmtId="0" fontId="8" fillId="3" borderId="23" xfId="0" applyFont="1" applyFill="1" applyBorder="1" applyAlignment="1">
      <alignment horizontal="center" vertical="center"/>
    </xf>
    <xf numFmtId="0" fontId="8" fillId="3" borderId="22" xfId="0" applyFont="1" applyFill="1" applyBorder="1" applyAlignment="1">
      <alignment horizontal="center" vertical="center"/>
    </xf>
    <xf numFmtId="0" fontId="8" fillId="3" borderId="24" xfId="0" applyFont="1" applyFill="1" applyBorder="1" applyAlignment="1">
      <alignment horizontal="center" vertical="center"/>
    </xf>
    <xf numFmtId="0" fontId="8" fillId="3" borderId="20" xfId="0" applyFont="1" applyFill="1" applyBorder="1" applyAlignment="1">
      <alignment horizontal="center" vertical="center"/>
    </xf>
    <xf numFmtId="0" fontId="8" fillId="3" borderId="0" xfId="0" applyFont="1" applyFill="1" applyAlignment="1">
      <alignment horizontal="center" vertical="center"/>
    </xf>
    <xf numFmtId="0" fontId="8" fillId="3" borderId="25" xfId="0" applyFont="1" applyFill="1" applyBorder="1" applyAlignment="1">
      <alignment horizontal="center" vertical="center"/>
    </xf>
    <xf numFmtId="0" fontId="8" fillId="3" borderId="21" xfId="0" applyFont="1" applyFill="1" applyBorder="1" applyAlignment="1">
      <alignment horizontal="center" vertical="center"/>
    </xf>
    <xf numFmtId="0" fontId="8" fillId="3" borderId="26" xfId="0" applyFont="1" applyFill="1" applyBorder="1" applyAlignment="1">
      <alignment horizontal="center" vertical="center"/>
    </xf>
    <xf numFmtId="0" fontId="8" fillId="3" borderId="27" xfId="0" applyFont="1" applyFill="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29" xfId="0" applyFont="1" applyBorder="1" applyAlignment="1">
      <alignment horizontal="center" vertical="center" wrapText="1"/>
    </xf>
    <xf numFmtId="0" fontId="1" fillId="0" borderId="34" xfId="0" applyFont="1" applyBorder="1" applyAlignment="1">
      <alignment horizontal="center" vertical="center" wrapText="1"/>
    </xf>
    <xf numFmtId="0" fontId="11" fillId="0" borderId="36" xfId="0" applyFont="1" applyBorder="1" applyAlignment="1">
      <alignment horizontal="center" vertical="center"/>
    </xf>
    <xf numFmtId="0" fontId="11" fillId="0" borderId="37" xfId="0" applyFont="1" applyBorder="1" applyAlignment="1">
      <alignment horizontal="center" vertical="center"/>
    </xf>
    <xf numFmtId="0" fontId="11" fillId="0" borderId="36" xfId="0" applyFont="1" applyBorder="1" applyAlignment="1">
      <alignment horizontal="center" vertical="center" wrapText="1"/>
    </xf>
    <xf numFmtId="0" fontId="11" fillId="0" borderId="37" xfId="0" applyFont="1" applyBorder="1" applyAlignment="1">
      <alignment horizontal="center" vertical="center" wrapText="1"/>
    </xf>
    <xf numFmtId="0" fontId="11" fillId="0" borderId="36" xfId="0" applyFont="1" applyBorder="1" applyAlignment="1">
      <alignment horizontal="justify" vertical="center" wrapText="1"/>
    </xf>
    <xf numFmtId="0" fontId="11" fillId="0" borderId="37" xfId="0" applyFont="1" applyBorder="1" applyAlignment="1">
      <alignment horizontal="justify" vertical="center" wrapText="1"/>
    </xf>
    <xf numFmtId="0" fontId="11" fillId="0" borderId="21" xfId="0" applyFont="1" applyBorder="1" applyAlignment="1">
      <alignment horizontal="center" vertical="center"/>
    </xf>
    <xf numFmtId="0" fontId="11" fillId="0" borderId="26" xfId="0" applyFont="1" applyBorder="1" applyAlignment="1">
      <alignment horizontal="center" vertical="center"/>
    </xf>
    <xf numFmtId="0" fontId="11" fillId="0" borderId="27" xfId="0" applyFont="1" applyBorder="1" applyAlignment="1">
      <alignment horizontal="center" vertical="center"/>
    </xf>
    <xf numFmtId="0" fontId="13" fillId="0" borderId="35"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35" xfId="0" applyFont="1" applyBorder="1" applyAlignment="1">
      <alignment horizontal="center" vertical="center"/>
    </xf>
    <xf numFmtId="0" fontId="13" fillId="0" borderId="36" xfId="0" applyFont="1" applyBorder="1" applyAlignment="1">
      <alignment horizontal="center" vertical="center"/>
    </xf>
    <xf numFmtId="0" fontId="13" fillId="0" borderId="37" xfId="0" applyFont="1" applyBorder="1" applyAlignment="1">
      <alignment horizontal="center" vertical="center"/>
    </xf>
    <xf numFmtId="0" fontId="12" fillId="0" borderId="20" xfId="0" applyFont="1" applyBorder="1" applyAlignment="1">
      <alignment vertical="center" wrapText="1"/>
    </xf>
    <xf numFmtId="0" fontId="13" fillId="0" borderId="35" xfId="0" applyFont="1" applyBorder="1" applyAlignment="1">
      <alignment horizontal="justify" vertical="center" wrapText="1"/>
    </xf>
    <xf numFmtId="0" fontId="13" fillId="0" borderId="37" xfId="0" applyFont="1" applyBorder="1" applyAlignment="1">
      <alignment horizontal="justify" vertical="center" wrapText="1"/>
    </xf>
    <xf numFmtId="0" fontId="13" fillId="0" borderId="35" xfId="0" applyFont="1" applyBorder="1" applyAlignment="1">
      <alignment horizontal="justify" vertical="center"/>
    </xf>
    <xf numFmtId="0" fontId="13" fillId="0" borderId="37" xfId="0" applyFont="1" applyBorder="1" applyAlignment="1">
      <alignment horizontal="justify" vertical="center"/>
    </xf>
    <xf numFmtId="0" fontId="13" fillId="0" borderId="36" xfId="0" applyFont="1" applyBorder="1" applyAlignment="1">
      <alignment horizontal="justify" vertical="center" wrapText="1"/>
    </xf>
    <xf numFmtId="0" fontId="13" fillId="0" borderId="36" xfId="0" applyFont="1" applyBorder="1" applyAlignment="1">
      <alignment horizontal="center" vertical="center" wrapText="1"/>
    </xf>
    <xf numFmtId="0" fontId="13" fillId="0" borderId="36" xfId="0" applyFont="1" applyBorder="1" applyAlignment="1">
      <alignment horizontal="justify" vertical="center"/>
    </xf>
    <xf numFmtId="0" fontId="11" fillId="0" borderId="11" xfId="0" applyFont="1" applyBorder="1" applyAlignment="1">
      <alignment horizontal="center" vertical="center"/>
    </xf>
  </cellXfs>
  <cellStyles count="7">
    <cellStyle name="Bad" xfId="3" builtinId="27"/>
    <cellStyle name="Good" xfId="4" builtinId="26"/>
    <cellStyle name="Neutral" xfId="5" builtinId="28"/>
    <cellStyle name="Normal" xfId="0" builtinId="0"/>
    <cellStyle name="Normal 14" xfId="1" xr:uid="{DCCEA28C-AFD9-4645-A0FB-D3049934883A}"/>
    <cellStyle name="Normal 2" xfId="2" xr:uid="{2F7D6482-1C46-4CF6-9A5E-467C38130182}"/>
    <cellStyle name="Percent" xfId="6" builtinId="5"/>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285750</xdr:colOff>
      <xdr:row>0</xdr:row>
      <xdr:rowOff>370416</xdr:rowOff>
    </xdr:from>
    <xdr:to>
      <xdr:col>7</xdr:col>
      <xdr:colOff>638643</xdr:colOff>
      <xdr:row>0</xdr:row>
      <xdr:rowOff>571601</xdr:rowOff>
    </xdr:to>
    <xdr:pic>
      <xdr:nvPicPr>
        <xdr:cNvPr id="2" name="Picture 1">
          <a:extLst>
            <a:ext uri="{FF2B5EF4-FFF2-40B4-BE49-F238E27FC236}">
              <a16:creationId xmlns:a16="http://schemas.microsoft.com/office/drawing/2014/main" id="{881406FB-295D-8087-EC53-86B23A2CB2F5}"/>
            </a:ext>
          </a:extLst>
        </xdr:cNvPr>
        <xdr:cNvPicPr>
          <a:picLocks noChangeAspect="1"/>
        </xdr:cNvPicPr>
      </xdr:nvPicPr>
      <xdr:blipFill>
        <a:blip xmlns:r="http://schemas.openxmlformats.org/officeDocument/2006/relationships" r:embed="rId1"/>
        <a:stretch>
          <a:fillRect/>
        </a:stretch>
      </xdr:blipFill>
      <xdr:spPr>
        <a:xfrm>
          <a:off x="5725583" y="370416"/>
          <a:ext cx="1170533" cy="2011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B5A8C-234D-446A-89FF-D19F125FC663}">
  <sheetPr codeName="Sheet1">
    <pageSetUpPr fitToPage="1"/>
  </sheetPr>
  <dimension ref="A1:AI56"/>
  <sheetViews>
    <sheetView tabSelected="1" view="pageBreakPreview" zoomScale="70" zoomScaleNormal="40" zoomScaleSheetLayoutView="70" workbookViewId="0">
      <selection activeCell="A2" sqref="A2:H2"/>
    </sheetView>
  </sheetViews>
  <sheetFormatPr defaultRowHeight="15" customHeight="1"/>
  <cols>
    <col min="1" max="1" width="6.5703125" customWidth="1"/>
    <col min="2" max="2" width="10.5703125" customWidth="1"/>
    <col min="3" max="3" width="26.140625" customWidth="1"/>
    <col min="4" max="4" width="15" customWidth="1"/>
    <col min="5" max="5" width="12.140625" customWidth="1"/>
    <col min="6" max="8" width="11.5703125" customWidth="1"/>
    <col min="9" max="9" width="13" customWidth="1"/>
    <col min="10" max="12" width="13.140625" customWidth="1"/>
    <col min="13" max="13" width="12.85546875" customWidth="1"/>
    <col min="14" max="14" width="11.140625" customWidth="1"/>
    <col min="15" max="15" width="16.42578125" customWidth="1"/>
    <col min="16" max="21" width="12.5703125" customWidth="1"/>
    <col min="22" max="22" width="10.5703125" customWidth="1"/>
    <col min="23" max="23" width="9.85546875" customWidth="1"/>
    <col min="24" max="24" width="11" customWidth="1"/>
    <col min="25" max="25" width="9.85546875" customWidth="1"/>
    <col min="26" max="26" width="9" customWidth="1"/>
    <col min="27" max="27" width="11.5703125" customWidth="1"/>
    <col min="28" max="28" width="10.7109375" customWidth="1"/>
    <col min="29" max="31" width="12.5703125" customWidth="1"/>
    <col min="32" max="32" width="15" customWidth="1"/>
  </cols>
  <sheetData>
    <row r="1" spans="1:35" ht="50.1" customHeight="1">
      <c r="A1" s="214" t="s">
        <v>0</v>
      </c>
      <c r="B1" s="215"/>
      <c r="C1" s="215"/>
      <c r="D1" s="215"/>
      <c r="E1" s="215"/>
      <c r="F1" s="215"/>
      <c r="G1" s="215"/>
      <c r="H1" s="215"/>
      <c r="I1" s="232"/>
      <c r="J1" s="232"/>
      <c r="K1" s="232"/>
      <c r="L1" s="232"/>
      <c r="M1" s="232"/>
      <c r="N1" s="232"/>
      <c r="O1" s="232"/>
      <c r="P1" s="232"/>
      <c r="Q1" s="232"/>
      <c r="R1" s="232"/>
      <c r="S1" s="232"/>
      <c r="T1" s="232"/>
      <c r="U1" s="232"/>
      <c r="V1" s="232"/>
      <c r="W1" s="232"/>
      <c r="X1" s="232"/>
      <c r="Y1" s="232"/>
      <c r="Z1" s="232"/>
      <c r="AA1" s="232"/>
      <c r="AB1" s="232"/>
      <c r="AC1" s="232"/>
      <c r="AD1" s="232"/>
      <c r="AE1" s="232"/>
      <c r="AF1" s="232"/>
      <c r="AG1" s="232"/>
      <c r="AH1" s="232"/>
      <c r="AI1" s="232"/>
    </row>
    <row r="2" spans="1:35" ht="50.1" customHeight="1" thickBot="1">
      <c r="A2" s="216" t="s">
        <v>1</v>
      </c>
      <c r="B2" s="217"/>
      <c r="C2" s="217"/>
      <c r="D2" s="217"/>
      <c r="E2" s="217"/>
      <c r="F2" s="217"/>
      <c r="G2" s="217"/>
      <c r="H2" s="217"/>
      <c r="I2" s="233" t="s">
        <v>2</v>
      </c>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4"/>
    </row>
    <row r="3" spans="1:35" s="85" customFormat="1" ht="45.95" customHeight="1">
      <c r="A3" s="220" t="s">
        <v>3</v>
      </c>
      <c r="B3" s="218" t="s">
        <v>4</v>
      </c>
      <c r="C3" s="218" t="s">
        <v>5</v>
      </c>
      <c r="D3" s="218" t="s">
        <v>6</v>
      </c>
      <c r="E3" s="218" t="s">
        <v>7</v>
      </c>
      <c r="F3" s="218" t="s">
        <v>8</v>
      </c>
      <c r="G3" s="218" t="s">
        <v>9</v>
      </c>
      <c r="H3" s="218" t="s">
        <v>10</v>
      </c>
      <c r="I3" s="209" t="s">
        <v>11</v>
      </c>
      <c r="J3" s="209" t="s">
        <v>12</v>
      </c>
      <c r="K3" s="209" t="s">
        <v>13</v>
      </c>
      <c r="L3" s="209" t="s">
        <v>14</v>
      </c>
      <c r="M3" s="211" t="s">
        <v>15</v>
      </c>
      <c r="N3" s="211" t="s">
        <v>16</v>
      </c>
      <c r="O3" s="211" t="s">
        <v>17</v>
      </c>
      <c r="P3" s="209" t="s">
        <v>18</v>
      </c>
      <c r="Q3" s="209" t="s">
        <v>19</v>
      </c>
      <c r="R3" s="209" t="s">
        <v>20</v>
      </c>
      <c r="S3" s="209" t="s">
        <v>21</v>
      </c>
      <c r="T3" s="209" t="s">
        <v>22</v>
      </c>
      <c r="U3" s="209" t="s">
        <v>23</v>
      </c>
      <c r="V3" s="211" t="s">
        <v>24</v>
      </c>
      <c r="W3" s="211" t="s">
        <v>25</v>
      </c>
      <c r="X3" s="211" t="s">
        <v>26</v>
      </c>
      <c r="Y3" s="209" t="s">
        <v>27</v>
      </c>
      <c r="Z3" s="211" t="s">
        <v>28</v>
      </c>
      <c r="AA3" s="211" t="s">
        <v>29</v>
      </c>
      <c r="AB3" s="209" t="s">
        <v>30</v>
      </c>
      <c r="AC3" s="209" t="s">
        <v>31</v>
      </c>
      <c r="AD3" s="235" t="s">
        <v>32</v>
      </c>
      <c r="AE3" s="223" t="s">
        <v>33</v>
      </c>
      <c r="AF3" s="223" t="s">
        <v>34</v>
      </c>
      <c r="AG3" s="237" t="s">
        <v>35</v>
      </c>
      <c r="AH3" s="237"/>
      <c r="AI3" s="238"/>
    </row>
    <row r="4" spans="1:35" s="85" customFormat="1" ht="82.5" customHeight="1" thickBot="1">
      <c r="A4" s="221"/>
      <c r="B4" s="219"/>
      <c r="C4" s="222"/>
      <c r="D4" s="219"/>
      <c r="E4" s="219"/>
      <c r="F4" s="219"/>
      <c r="G4" s="219"/>
      <c r="H4" s="219"/>
      <c r="I4" s="210"/>
      <c r="J4" s="210"/>
      <c r="K4" s="210"/>
      <c r="L4" s="210"/>
      <c r="M4" s="212"/>
      <c r="N4" s="212"/>
      <c r="O4" s="212"/>
      <c r="P4" s="210"/>
      <c r="Q4" s="210"/>
      <c r="R4" s="210"/>
      <c r="S4" s="210"/>
      <c r="T4" s="210"/>
      <c r="U4" s="210"/>
      <c r="V4" s="212"/>
      <c r="W4" s="212"/>
      <c r="X4" s="212"/>
      <c r="Y4" s="210"/>
      <c r="Z4" s="212"/>
      <c r="AA4" s="212"/>
      <c r="AB4" s="210"/>
      <c r="AC4" s="210"/>
      <c r="AD4" s="236"/>
      <c r="AE4" s="224"/>
      <c r="AF4" s="224"/>
      <c r="AG4" s="239"/>
      <c r="AH4" s="239"/>
      <c r="AI4" s="240"/>
    </row>
    <row r="5" spans="1:35" ht="115.5" customHeight="1" thickBot="1">
      <c r="A5" s="161">
        <v>1</v>
      </c>
      <c r="B5" s="162">
        <v>5900738</v>
      </c>
      <c r="C5" s="163" t="s">
        <v>36</v>
      </c>
      <c r="D5" s="164" t="s">
        <v>37</v>
      </c>
      <c r="E5" s="164" t="s">
        <v>38</v>
      </c>
      <c r="F5" s="164" t="s">
        <v>39</v>
      </c>
      <c r="G5" s="164" t="s">
        <v>40</v>
      </c>
      <c r="H5" s="164"/>
      <c r="I5" s="165" t="s">
        <v>41</v>
      </c>
      <c r="J5" s="166">
        <v>238</v>
      </c>
      <c r="K5" s="166">
        <v>154</v>
      </c>
      <c r="L5" s="166">
        <f>J5-K5</f>
        <v>84</v>
      </c>
      <c r="M5" s="167">
        <f>+K5/J5</f>
        <v>0.6470588235294118</v>
      </c>
      <c r="N5" s="168" t="s">
        <v>42</v>
      </c>
      <c r="O5" s="169" t="s">
        <v>43</v>
      </c>
      <c r="P5" s="170" t="s">
        <v>44</v>
      </c>
      <c r="Q5" s="170" t="s">
        <v>45</v>
      </c>
      <c r="R5" s="141"/>
      <c r="S5" s="170"/>
      <c r="T5" s="170" t="s">
        <v>46</v>
      </c>
      <c r="U5" s="170"/>
      <c r="V5" s="171">
        <v>0</v>
      </c>
      <c r="W5" s="171">
        <v>0</v>
      </c>
      <c r="X5" s="171">
        <v>0</v>
      </c>
      <c r="Y5" s="170">
        <v>2</v>
      </c>
      <c r="Z5" s="171">
        <v>0</v>
      </c>
      <c r="AA5" s="171">
        <v>0</v>
      </c>
      <c r="AB5" s="170">
        <f>4+7</f>
        <v>11</v>
      </c>
      <c r="AC5" s="172">
        <f>3/3</f>
        <v>1</v>
      </c>
      <c r="AD5" s="170">
        <v>100</v>
      </c>
      <c r="AE5" s="171">
        <v>1.51</v>
      </c>
      <c r="AF5" s="173">
        <v>4500</v>
      </c>
      <c r="AG5" s="241" t="s">
        <v>47</v>
      </c>
      <c r="AH5" s="241"/>
      <c r="AI5" s="242"/>
    </row>
    <row r="6" spans="1:35" ht="119.25" customHeight="1" thickBot="1">
      <c r="A6" s="174">
        <v>2</v>
      </c>
      <c r="B6" s="116">
        <v>5900885</v>
      </c>
      <c r="C6" s="117" t="s">
        <v>48</v>
      </c>
      <c r="D6" s="118" t="s">
        <v>37</v>
      </c>
      <c r="E6" s="118" t="s">
        <v>49</v>
      </c>
      <c r="F6" s="118" t="s">
        <v>50</v>
      </c>
      <c r="G6" s="118" t="s">
        <v>51</v>
      </c>
      <c r="H6" s="118" t="s">
        <v>52</v>
      </c>
      <c r="I6" s="112" t="s">
        <v>41</v>
      </c>
      <c r="J6" s="149"/>
      <c r="K6" s="113"/>
      <c r="L6" s="133"/>
      <c r="M6" s="136" t="e">
        <f>+K6/#REF!</f>
        <v>#REF!</v>
      </c>
      <c r="N6" s="122" t="s">
        <v>53</v>
      </c>
      <c r="O6" s="124" t="s">
        <v>54</v>
      </c>
      <c r="P6" s="131" t="s">
        <v>55</v>
      </c>
      <c r="Q6" s="131" t="s">
        <v>56</v>
      </c>
      <c r="R6" s="131" t="s">
        <v>57</v>
      </c>
      <c r="S6" s="131"/>
      <c r="T6" s="131" t="s">
        <v>58</v>
      </c>
      <c r="U6" s="131" t="s">
        <v>59</v>
      </c>
      <c r="V6" s="132">
        <v>0</v>
      </c>
      <c r="W6" s="132">
        <v>0</v>
      </c>
      <c r="X6" s="132">
        <v>0</v>
      </c>
      <c r="Y6" s="131">
        <f>1+1</f>
        <v>2</v>
      </c>
      <c r="Z6" s="132">
        <v>0</v>
      </c>
      <c r="AA6" s="137">
        <v>0</v>
      </c>
      <c r="AB6" s="131">
        <f>9+3+1+4+7</f>
        <v>24</v>
      </c>
      <c r="AC6" s="147">
        <f>5/6</f>
        <v>0.83333333333333337</v>
      </c>
      <c r="AD6" s="131">
        <v>98.26</v>
      </c>
      <c r="AE6" s="171">
        <v>0.55000000000000004</v>
      </c>
      <c r="AF6" s="144">
        <v>10500</v>
      </c>
      <c r="AG6" s="208" t="s">
        <v>60</v>
      </c>
      <c r="AH6" s="208"/>
      <c r="AI6" s="213"/>
    </row>
    <row r="7" spans="1:35" ht="86.1" customHeight="1">
      <c r="A7" s="174">
        <v>3</v>
      </c>
      <c r="B7" s="116">
        <v>5900891</v>
      </c>
      <c r="C7" s="117" t="s">
        <v>61</v>
      </c>
      <c r="D7" s="118" t="s">
        <v>62</v>
      </c>
      <c r="E7" s="118" t="s">
        <v>63</v>
      </c>
      <c r="F7" s="118" t="s">
        <v>64</v>
      </c>
      <c r="G7" s="128" t="s">
        <v>65</v>
      </c>
      <c r="H7" s="118"/>
      <c r="I7" s="112" t="s">
        <v>41</v>
      </c>
      <c r="J7" s="113"/>
      <c r="K7" s="113"/>
      <c r="L7" s="133">
        <f>J6-K7</f>
        <v>0</v>
      </c>
      <c r="M7" s="136" t="e">
        <f>+K7/J6</f>
        <v>#DIV/0!</v>
      </c>
      <c r="N7" s="122" t="s">
        <v>66</v>
      </c>
      <c r="O7" s="124" t="s">
        <v>67</v>
      </c>
      <c r="P7" s="131" t="s">
        <v>68</v>
      </c>
      <c r="Q7" s="131"/>
      <c r="R7" s="131"/>
      <c r="S7" s="131"/>
      <c r="T7" s="131"/>
      <c r="U7" s="131"/>
      <c r="V7" s="132">
        <v>0</v>
      </c>
      <c r="W7" s="132">
        <v>0</v>
      </c>
      <c r="X7" s="132">
        <v>0</v>
      </c>
      <c r="Y7" s="131">
        <v>1</v>
      </c>
      <c r="Z7" s="132">
        <v>0</v>
      </c>
      <c r="AA7" s="137">
        <v>0</v>
      </c>
      <c r="AB7" s="131">
        <v>9</v>
      </c>
      <c r="AC7" s="147">
        <f>4/5</f>
        <v>0.8</v>
      </c>
      <c r="AD7" s="131">
        <v>97.91</v>
      </c>
      <c r="AE7" s="175">
        <v>0.52</v>
      </c>
      <c r="AF7" s="144">
        <v>4200</v>
      </c>
      <c r="AG7" s="208" t="s">
        <v>69</v>
      </c>
      <c r="AH7" s="208"/>
      <c r="AI7" s="213"/>
    </row>
    <row r="8" spans="1:35" ht="93.75" customHeight="1">
      <c r="A8" s="174">
        <v>4</v>
      </c>
      <c r="B8" s="116">
        <v>5900828</v>
      </c>
      <c r="C8" s="117" t="s">
        <v>70</v>
      </c>
      <c r="D8" s="118" t="s">
        <v>37</v>
      </c>
      <c r="E8" s="118" t="s">
        <v>71</v>
      </c>
      <c r="F8" s="118" t="s">
        <v>72</v>
      </c>
      <c r="G8" s="118" t="s">
        <v>73</v>
      </c>
      <c r="H8" s="118"/>
      <c r="I8" s="112" t="s">
        <v>41</v>
      </c>
      <c r="J8" s="113"/>
      <c r="K8" s="113"/>
      <c r="L8" s="133">
        <f t="shared" ref="L8:L41" si="0">J8-K8</f>
        <v>0</v>
      </c>
      <c r="M8" s="136" t="e">
        <f t="shared" ref="M8:M41" si="1">+K8/J8</f>
        <v>#DIV/0!</v>
      </c>
      <c r="N8" s="122" t="s">
        <v>74</v>
      </c>
      <c r="O8" s="124" t="s">
        <v>75</v>
      </c>
      <c r="P8" s="131" t="s">
        <v>76</v>
      </c>
      <c r="Q8" s="131"/>
      <c r="R8" s="131"/>
      <c r="S8" s="131"/>
      <c r="T8" s="131"/>
      <c r="U8" s="131"/>
      <c r="V8" s="132">
        <v>0</v>
      </c>
      <c r="W8" s="132">
        <v>0</v>
      </c>
      <c r="X8" s="132">
        <v>0</v>
      </c>
      <c r="Y8" s="131">
        <v>0</v>
      </c>
      <c r="Z8" s="132">
        <v>0</v>
      </c>
      <c r="AA8" s="137">
        <v>0</v>
      </c>
      <c r="AB8" s="131">
        <v>7</v>
      </c>
      <c r="AC8" s="143"/>
      <c r="AD8" s="131">
        <v>39.71</v>
      </c>
      <c r="AE8" s="176">
        <v>0.72</v>
      </c>
      <c r="AF8" s="144">
        <v>5400</v>
      </c>
      <c r="AG8" s="230"/>
      <c r="AH8" s="230"/>
      <c r="AI8" s="231"/>
    </row>
    <row r="9" spans="1:35" ht="86.1" customHeight="1">
      <c r="A9" s="174">
        <v>5</v>
      </c>
      <c r="B9" s="116">
        <v>5900837</v>
      </c>
      <c r="C9" s="117" t="s">
        <v>77</v>
      </c>
      <c r="D9" s="118" t="s">
        <v>37</v>
      </c>
      <c r="E9" s="118" t="s">
        <v>49</v>
      </c>
      <c r="F9" s="118" t="s">
        <v>68</v>
      </c>
      <c r="G9" s="118" t="s">
        <v>78</v>
      </c>
      <c r="H9" s="128" t="s">
        <v>79</v>
      </c>
      <c r="I9" s="113" t="s">
        <v>80</v>
      </c>
      <c r="J9" s="134">
        <v>60</v>
      </c>
      <c r="K9" s="134">
        <v>23</v>
      </c>
      <c r="L9" s="133">
        <f t="shared" si="0"/>
        <v>37</v>
      </c>
      <c r="M9" s="136">
        <f t="shared" si="1"/>
        <v>0.38333333333333336</v>
      </c>
      <c r="N9" s="122" t="s">
        <v>74</v>
      </c>
      <c r="O9" s="124" t="s">
        <v>81</v>
      </c>
      <c r="P9" s="131" t="s">
        <v>82</v>
      </c>
      <c r="Q9" s="130" t="s">
        <v>83</v>
      </c>
      <c r="R9" s="130"/>
      <c r="S9" s="130"/>
      <c r="T9" s="130"/>
      <c r="U9" s="130"/>
      <c r="V9" s="132">
        <v>0</v>
      </c>
      <c r="W9" s="132">
        <v>0</v>
      </c>
      <c r="X9" s="132">
        <v>0</v>
      </c>
      <c r="Y9" s="131">
        <v>0</v>
      </c>
      <c r="Z9" s="132">
        <v>2</v>
      </c>
      <c r="AA9" s="132">
        <f ca="1">TODAY() - DATE(2025,11,12)</f>
        <v>34</v>
      </c>
      <c r="AB9" s="131">
        <f>2+6</f>
        <v>8</v>
      </c>
      <c r="AC9" s="143"/>
      <c r="AD9" s="131">
        <v>92.36</v>
      </c>
      <c r="AE9" s="132">
        <v>1.25</v>
      </c>
      <c r="AF9" s="144">
        <v>4500</v>
      </c>
      <c r="AG9" s="208" t="s">
        <v>84</v>
      </c>
      <c r="AH9" s="208"/>
      <c r="AI9" s="213"/>
    </row>
    <row r="10" spans="1:35" ht="86.1" customHeight="1">
      <c r="A10" s="174">
        <v>6</v>
      </c>
      <c r="B10" s="116">
        <v>5900803</v>
      </c>
      <c r="C10" s="117" t="s">
        <v>85</v>
      </c>
      <c r="D10" s="118" t="s">
        <v>86</v>
      </c>
      <c r="E10" s="118" t="s">
        <v>49</v>
      </c>
      <c r="F10" s="118" t="s">
        <v>87</v>
      </c>
      <c r="G10" s="118" t="s">
        <v>88</v>
      </c>
      <c r="H10" s="128" t="s">
        <v>89</v>
      </c>
      <c r="I10" s="112" t="s">
        <v>41</v>
      </c>
      <c r="J10" s="113"/>
      <c r="K10" s="113"/>
      <c r="L10" s="133">
        <f t="shared" si="0"/>
        <v>0</v>
      </c>
      <c r="M10" s="136" t="e">
        <f t="shared" si="1"/>
        <v>#DIV/0!</v>
      </c>
      <c r="N10" s="122" t="s">
        <v>66</v>
      </c>
      <c r="O10" s="124" t="s">
        <v>90</v>
      </c>
      <c r="P10" s="131" t="s">
        <v>91</v>
      </c>
      <c r="Q10" s="131" t="s">
        <v>92</v>
      </c>
      <c r="R10" s="131" t="s">
        <v>93</v>
      </c>
      <c r="S10" s="131"/>
      <c r="T10" s="131"/>
      <c r="U10" s="131"/>
      <c r="V10" s="132">
        <v>0</v>
      </c>
      <c r="W10" s="132">
        <v>0</v>
      </c>
      <c r="X10" s="132">
        <v>0</v>
      </c>
      <c r="Y10" s="131">
        <v>4</v>
      </c>
      <c r="Z10" s="132">
        <v>0</v>
      </c>
      <c r="AA10" s="132">
        <v>0</v>
      </c>
      <c r="AB10" s="131">
        <v>13</v>
      </c>
      <c r="AC10" s="143"/>
      <c r="AD10" s="131">
        <v>88.43</v>
      </c>
      <c r="AE10" s="132">
        <v>2.91</v>
      </c>
      <c r="AF10" s="144">
        <v>18100</v>
      </c>
      <c r="AG10" s="208" t="s">
        <v>94</v>
      </c>
      <c r="AH10" s="208"/>
      <c r="AI10" s="213"/>
    </row>
    <row r="11" spans="1:35" ht="86.1" customHeight="1">
      <c r="A11" s="174">
        <v>7</v>
      </c>
      <c r="B11" s="116">
        <v>5900737</v>
      </c>
      <c r="C11" s="117" t="s">
        <v>95</v>
      </c>
      <c r="D11" s="118" t="s">
        <v>37</v>
      </c>
      <c r="E11" s="118" t="s">
        <v>49</v>
      </c>
      <c r="F11" s="118" t="s">
        <v>96</v>
      </c>
      <c r="G11" s="118" t="s">
        <v>97</v>
      </c>
      <c r="H11" s="128" t="s">
        <v>98</v>
      </c>
      <c r="I11" s="112" t="s">
        <v>41</v>
      </c>
      <c r="J11" s="113"/>
      <c r="K11" s="113"/>
      <c r="L11" s="133">
        <f t="shared" si="0"/>
        <v>0</v>
      </c>
      <c r="M11" s="136" t="e">
        <f t="shared" si="1"/>
        <v>#DIV/0!</v>
      </c>
      <c r="N11" s="122" t="s">
        <v>74</v>
      </c>
      <c r="O11" s="124" t="s">
        <v>99</v>
      </c>
      <c r="P11" s="141">
        <v>12.202299999999999</v>
      </c>
      <c r="Q11" s="141">
        <v>2.2023999999999999</v>
      </c>
      <c r="R11" s="141">
        <v>7.2023999999999999</v>
      </c>
      <c r="S11" s="130"/>
      <c r="T11" s="130"/>
      <c r="U11" s="130"/>
      <c r="V11" s="132">
        <v>0</v>
      </c>
      <c r="W11" s="132">
        <v>0</v>
      </c>
      <c r="X11" s="132">
        <v>0</v>
      </c>
      <c r="Y11" s="131">
        <v>0</v>
      </c>
      <c r="Z11" s="132">
        <v>0</v>
      </c>
      <c r="AA11" s="132">
        <v>0</v>
      </c>
      <c r="AB11" s="131">
        <v>0</v>
      </c>
      <c r="AC11" s="143">
        <f>3/4</f>
        <v>0.75</v>
      </c>
      <c r="AD11" s="131">
        <v>99.11</v>
      </c>
      <c r="AE11" s="132">
        <v>7.55</v>
      </c>
      <c r="AF11" s="144">
        <v>0</v>
      </c>
      <c r="AG11" s="208" t="s">
        <v>100</v>
      </c>
      <c r="AH11" s="208"/>
      <c r="AI11" s="213"/>
    </row>
    <row r="12" spans="1:35" ht="86.1" customHeight="1">
      <c r="A12" s="174">
        <v>8</v>
      </c>
      <c r="B12" s="116">
        <v>5900921</v>
      </c>
      <c r="C12" s="117" t="s">
        <v>101</v>
      </c>
      <c r="D12" s="118" t="s">
        <v>102</v>
      </c>
      <c r="E12" s="118" t="s">
        <v>103</v>
      </c>
      <c r="F12" s="118" t="s">
        <v>104</v>
      </c>
      <c r="G12" s="118" t="s">
        <v>105</v>
      </c>
      <c r="H12" s="128" t="s">
        <v>106</v>
      </c>
      <c r="I12" s="112" t="s">
        <v>41</v>
      </c>
      <c r="J12" s="113"/>
      <c r="K12" s="113"/>
      <c r="L12" s="133">
        <f t="shared" si="0"/>
        <v>0</v>
      </c>
      <c r="M12" s="136" t="e">
        <f t="shared" si="1"/>
        <v>#DIV/0!</v>
      </c>
      <c r="N12" s="122" t="s">
        <v>74</v>
      </c>
      <c r="O12" s="124" t="s">
        <v>107</v>
      </c>
      <c r="P12" s="131" t="s">
        <v>108</v>
      </c>
      <c r="Q12" s="130"/>
      <c r="R12" s="130"/>
      <c r="S12" s="130"/>
      <c r="T12" s="130" t="s">
        <v>109</v>
      </c>
      <c r="U12" s="130"/>
      <c r="V12" s="132">
        <v>0</v>
      </c>
      <c r="W12" s="132">
        <v>0</v>
      </c>
      <c r="X12" s="132">
        <v>0</v>
      </c>
      <c r="Y12" s="131">
        <v>8</v>
      </c>
      <c r="Z12" s="132">
        <v>0</v>
      </c>
      <c r="AA12" s="132">
        <v>0</v>
      </c>
      <c r="AB12" s="131">
        <f>2+14+8</f>
        <v>24</v>
      </c>
      <c r="AC12" s="143"/>
      <c r="AD12" s="131">
        <v>92.54</v>
      </c>
      <c r="AE12" s="132">
        <v>4.46</v>
      </c>
      <c r="AF12" s="144">
        <v>14100</v>
      </c>
      <c r="AG12" s="208" t="s">
        <v>84</v>
      </c>
      <c r="AH12" s="208"/>
      <c r="AI12" s="213"/>
    </row>
    <row r="13" spans="1:35" ht="140.44999999999999" customHeight="1">
      <c r="A13" s="174">
        <v>9</v>
      </c>
      <c r="B13" s="116">
        <v>5900892</v>
      </c>
      <c r="C13" s="117" t="s">
        <v>110</v>
      </c>
      <c r="D13" s="118" t="s">
        <v>111</v>
      </c>
      <c r="E13" s="118" t="s">
        <v>63</v>
      </c>
      <c r="F13" s="118" t="s">
        <v>112</v>
      </c>
      <c r="G13" s="118" t="s">
        <v>113</v>
      </c>
      <c r="H13" s="128" t="s">
        <v>114</v>
      </c>
      <c r="I13" s="112" t="s">
        <v>41</v>
      </c>
      <c r="J13" s="134">
        <v>14</v>
      </c>
      <c r="K13" s="134">
        <v>78</v>
      </c>
      <c r="L13" s="133">
        <f t="shared" si="0"/>
        <v>-64</v>
      </c>
      <c r="M13" s="136">
        <f t="shared" si="1"/>
        <v>5.5714285714285712</v>
      </c>
      <c r="N13" s="122" t="s">
        <v>74</v>
      </c>
      <c r="O13" s="124" t="s">
        <v>115</v>
      </c>
      <c r="P13" s="131" t="s">
        <v>116</v>
      </c>
      <c r="Q13" s="131" t="s">
        <v>117</v>
      </c>
      <c r="R13" s="131"/>
      <c r="S13" s="131"/>
      <c r="T13" s="131" t="s">
        <v>118</v>
      </c>
      <c r="U13" s="131" t="s">
        <v>119</v>
      </c>
      <c r="V13" s="132">
        <v>0</v>
      </c>
      <c r="W13" s="132">
        <f>1+3+6-10</f>
        <v>0</v>
      </c>
      <c r="X13" s="137">
        <v>0</v>
      </c>
      <c r="Y13" s="131">
        <v>0</v>
      </c>
      <c r="Z13" s="132">
        <f>2+8+1+3+1-8-7</f>
        <v>0</v>
      </c>
      <c r="AA13" s="137">
        <v>0</v>
      </c>
      <c r="AB13" s="131">
        <v>21</v>
      </c>
      <c r="AC13" s="147">
        <f>6/6</f>
        <v>1</v>
      </c>
      <c r="AD13" s="131">
        <v>98.34</v>
      </c>
      <c r="AE13" s="132">
        <v>0.17</v>
      </c>
      <c r="AF13" s="144">
        <v>900</v>
      </c>
      <c r="AG13" s="208" t="s">
        <v>120</v>
      </c>
      <c r="AH13" s="208"/>
      <c r="AI13" s="213"/>
    </row>
    <row r="14" spans="1:35" ht="86.1" customHeight="1">
      <c r="A14" s="174">
        <v>10</v>
      </c>
      <c r="B14" s="116">
        <v>5900878</v>
      </c>
      <c r="C14" s="117" t="s">
        <v>121</v>
      </c>
      <c r="D14" s="118" t="s">
        <v>122</v>
      </c>
      <c r="E14" s="118" t="s">
        <v>103</v>
      </c>
      <c r="F14" s="118" t="s">
        <v>123</v>
      </c>
      <c r="G14" s="118" t="s">
        <v>124</v>
      </c>
      <c r="H14" s="118" t="s">
        <v>125</v>
      </c>
      <c r="I14" s="112" t="s">
        <v>41</v>
      </c>
      <c r="J14" s="113"/>
      <c r="K14" s="113"/>
      <c r="L14" s="133">
        <f t="shared" si="0"/>
        <v>0</v>
      </c>
      <c r="M14" s="136" t="e">
        <f t="shared" si="1"/>
        <v>#DIV/0!</v>
      </c>
      <c r="N14" s="122" t="s">
        <v>126</v>
      </c>
      <c r="O14" s="124" t="s">
        <v>127</v>
      </c>
      <c r="P14" s="131" t="s">
        <v>128</v>
      </c>
      <c r="Q14" s="131" t="s">
        <v>129</v>
      </c>
      <c r="R14" s="131" t="s">
        <v>130</v>
      </c>
      <c r="S14" s="131" t="s">
        <v>131</v>
      </c>
      <c r="T14" s="139"/>
      <c r="U14" s="139"/>
      <c r="V14" s="132"/>
      <c r="W14" s="132"/>
      <c r="X14" s="132"/>
      <c r="Y14" s="131"/>
      <c r="Z14" s="138"/>
      <c r="AA14" s="132"/>
      <c r="AB14" s="139"/>
      <c r="AC14" s="143"/>
      <c r="AD14" s="131">
        <v>98.34</v>
      </c>
      <c r="AE14" s="132">
        <v>0.22</v>
      </c>
      <c r="AF14" s="144">
        <v>1500</v>
      </c>
      <c r="AG14" s="226" t="s">
        <v>132</v>
      </c>
      <c r="AH14" s="226"/>
      <c r="AI14" s="227"/>
    </row>
    <row r="15" spans="1:35" ht="86.1" customHeight="1">
      <c r="A15" s="174">
        <v>11</v>
      </c>
      <c r="B15" s="116">
        <v>5900913</v>
      </c>
      <c r="C15" s="117" t="s">
        <v>133</v>
      </c>
      <c r="D15" s="118" t="s">
        <v>102</v>
      </c>
      <c r="E15" s="118" t="s">
        <v>38</v>
      </c>
      <c r="F15" s="118" t="s">
        <v>134</v>
      </c>
      <c r="G15" s="128" t="s">
        <v>135</v>
      </c>
      <c r="H15" s="118"/>
      <c r="I15" s="112" t="s">
        <v>41</v>
      </c>
      <c r="J15" s="134">
        <v>175</v>
      </c>
      <c r="K15" s="134">
        <v>135</v>
      </c>
      <c r="L15" s="133">
        <f t="shared" si="0"/>
        <v>40</v>
      </c>
      <c r="M15" s="136">
        <f t="shared" si="1"/>
        <v>0.77142857142857146</v>
      </c>
      <c r="N15" s="122" t="s">
        <v>74</v>
      </c>
      <c r="O15" s="124" t="s">
        <v>136</v>
      </c>
      <c r="P15" s="131" t="s">
        <v>137</v>
      </c>
      <c r="Q15" s="141">
        <v>6.2024999999999997</v>
      </c>
      <c r="R15" s="141">
        <v>7.2024999999999997</v>
      </c>
      <c r="S15" s="141">
        <v>8.2025000000000006</v>
      </c>
      <c r="T15" s="131"/>
      <c r="U15" s="131"/>
      <c r="V15" s="132">
        <v>0</v>
      </c>
      <c r="W15" s="132">
        <v>0</v>
      </c>
      <c r="X15" s="132">
        <v>0</v>
      </c>
      <c r="Y15" s="131">
        <v>4</v>
      </c>
      <c r="Z15" s="132">
        <v>0</v>
      </c>
      <c r="AA15" s="132">
        <v>0</v>
      </c>
      <c r="AB15" s="131">
        <v>8</v>
      </c>
      <c r="AC15" s="143"/>
      <c r="AD15" s="131">
        <v>33.71</v>
      </c>
      <c r="AE15" s="132">
        <v>1.43</v>
      </c>
      <c r="AF15" s="144">
        <v>11400</v>
      </c>
      <c r="AG15" s="208" t="s">
        <v>138</v>
      </c>
      <c r="AH15" s="208"/>
      <c r="AI15" s="213"/>
    </row>
    <row r="16" spans="1:35" ht="86.1" customHeight="1">
      <c r="A16" s="174">
        <v>12</v>
      </c>
      <c r="B16" s="116">
        <v>5900942</v>
      </c>
      <c r="C16" s="117" t="s">
        <v>139</v>
      </c>
      <c r="D16" s="118" t="s">
        <v>140</v>
      </c>
      <c r="E16" s="118" t="s">
        <v>49</v>
      </c>
      <c r="F16" s="118" t="s">
        <v>141</v>
      </c>
      <c r="G16" s="118" t="s">
        <v>142</v>
      </c>
      <c r="H16" s="118" t="s">
        <v>143</v>
      </c>
      <c r="I16" s="113" t="s">
        <v>80</v>
      </c>
      <c r="J16" s="113"/>
      <c r="K16" s="113"/>
      <c r="L16" s="133">
        <f t="shared" si="0"/>
        <v>0</v>
      </c>
      <c r="M16" s="136" t="e">
        <f t="shared" si="1"/>
        <v>#DIV/0!</v>
      </c>
      <c r="N16" s="122" t="s">
        <v>126</v>
      </c>
      <c r="O16" s="124" t="s">
        <v>144</v>
      </c>
      <c r="P16" s="131" t="s">
        <v>145</v>
      </c>
      <c r="Q16" s="131"/>
      <c r="R16" s="131"/>
      <c r="S16" s="131"/>
      <c r="T16" s="131"/>
      <c r="U16" s="131"/>
      <c r="V16" s="132">
        <v>0</v>
      </c>
      <c r="W16" s="132">
        <v>0</v>
      </c>
      <c r="X16" s="132">
        <v>0</v>
      </c>
      <c r="Y16" s="131">
        <v>0</v>
      </c>
      <c r="Z16" s="132">
        <v>0</v>
      </c>
      <c r="AA16" s="132">
        <v>0</v>
      </c>
      <c r="AB16" s="131">
        <v>6</v>
      </c>
      <c r="AC16" s="143"/>
      <c r="AD16" s="131">
        <v>83.97</v>
      </c>
      <c r="AE16" s="132">
        <v>0</v>
      </c>
      <c r="AF16" s="144">
        <v>0</v>
      </c>
      <c r="AG16" s="226" t="s">
        <v>132</v>
      </c>
      <c r="AH16" s="226"/>
      <c r="AI16" s="227"/>
    </row>
    <row r="17" spans="1:35" ht="74.45" customHeight="1">
      <c r="A17" s="174">
        <v>13</v>
      </c>
      <c r="B17" s="116">
        <v>5900935</v>
      </c>
      <c r="C17" s="117" t="s">
        <v>146</v>
      </c>
      <c r="D17" s="118" t="s">
        <v>147</v>
      </c>
      <c r="E17" s="118" t="s">
        <v>49</v>
      </c>
      <c r="F17" s="118" t="s">
        <v>115</v>
      </c>
      <c r="G17" s="118" t="s">
        <v>148</v>
      </c>
      <c r="H17" s="128" t="s">
        <v>149</v>
      </c>
      <c r="I17" s="113" t="s">
        <v>80</v>
      </c>
      <c r="J17" s="113"/>
      <c r="K17" s="113"/>
      <c r="L17" s="133">
        <f t="shared" si="0"/>
        <v>0</v>
      </c>
      <c r="M17" s="136" t="e">
        <f t="shared" si="1"/>
        <v>#DIV/0!</v>
      </c>
      <c r="N17" s="122" t="s">
        <v>126</v>
      </c>
      <c r="O17" s="124" t="s">
        <v>150</v>
      </c>
      <c r="P17" s="131" t="s">
        <v>151</v>
      </c>
      <c r="Q17" s="131" t="s">
        <v>152</v>
      </c>
      <c r="R17" s="131" t="s">
        <v>153</v>
      </c>
      <c r="S17" s="131"/>
      <c r="T17" s="131"/>
      <c r="U17" s="131"/>
      <c r="V17" s="132">
        <v>0</v>
      </c>
      <c r="W17" s="132">
        <v>0</v>
      </c>
      <c r="X17" s="132">
        <v>0</v>
      </c>
      <c r="Y17" s="131">
        <v>4</v>
      </c>
      <c r="Z17" s="132">
        <v>2</v>
      </c>
      <c r="AA17" s="132">
        <f ca="1">TODAY() - DATE(2025,3,28)</f>
        <v>263</v>
      </c>
      <c r="AB17" s="131">
        <f>10+9+6</f>
        <v>25</v>
      </c>
      <c r="AC17" s="143">
        <f>8/9</f>
        <v>0.88888888888888884</v>
      </c>
      <c r="AD17" s="131">
        <v>94.96</v>
      </c>
      <c r="AE17" s="132">
        <v>1.02</v>
      </c>
      <c r="AF17" s="144">
        <v>33700</v>
      </c>
      <c r="AG17" s="208" t="s">
        <v>154</v>
      </c>
      <c r="AH17" s="208"/>
      <c r="AI17" s="213"/>
    </row>
    <row r="18" spans="1:35" ht="86.1" customHeight="1">
      <c r="A18" s="174">
        <v>14</v>
      </c>
      <c r="B18" s="116">
        <v>5900978</v>
      </c>
      <c r="C18" s="117" t="s">
        <v>155</v>
      </c>
      <c r="D18" s="118" t="s">
        <v>156</v>
      </c>
      <c r="E18" s="118" t="s">
        <v>103</v>
      </c>
      <c r="F18" s="118" t="s">
        <v>157</v>
      </c>
      <c r="G18" s="118" t="s">
        <v>158</v>
      </c>
      <c r="H18" s="135"/>
      <c r="I18" s="112" t="s">
        <v>41</v>
      </c>
      <c r="J18" s="113"/>
      <c r="K18" s="113"/>
      <c r="L18" s="133">
        <f t="shared" si="0"/>
        <v>0</v>
      </c>
      <c r="M18" s="136" t="e">
        <f t="shared" si="1"/>
        <v>#DIV/0!</v>
      </c>
      <c r="N18" s="122" t="s">
        <v>42</v>
      </c>
      <c r="O18" s="124" t="s">
        <v>159</v>
      </c>
      <c r="P18" s="131"/>
      <c r="Q18" s="131"/>
      <c r="R18" s="131"/>
      <c r="S18" s="131"/>
      <c r="T18" s="131"/>
      <c r="U18" s="131"/>
      <c r="V18" s="123"/>
      <c r="W18" s="123"/>
      <c r="X18" s="123"/>
      <c r="Y18" s="114"/>
      <c r="Z18" s="123"/>
      <c r="AA18" s="123"/>
      <c r="AB18" s="114"/>
      <c r="AC18" s="143"/>
      <c r="AD18" s="131"/>
      <c r="AE18" s="132">
        <v>0.63</v>
      </c>
      <c r="AF18" s="144">
        <v>900</v>
      </c>
      <c r="AG18" s="226" t="s">
        <v>132</v>
      </c>
      <c r="AH18" s="226"/>
      <c r="AI18" s="227"/>
    </row>
    <row r="19" spans="1:35" ht="86.1" customHeight="1">
      <c r="A19" s="174">
        <v>15</v>
      </c>
      <c r="B19" s="116">
        <v>5900899</v>
      </c>
      <c r="C19" s="117" t="s">
        <v>160</v>
      </c>
      <c r="D19" s="118" t="s">
        <v>37</v>
      </c>
      <c r="E19" s="118" t="s">
        <v>71</v>
      </c>
      <c r="F19" s="118" t="s">
        <v>161</v>
      </c>
      <c r="G19" s="118" t="s">
        <v>162</v>
      </c>
      <c r="H19" s="118"/>
      <c r="I19" s="113" t="s">
        <v>80</v>
      </c>
      <c r="J19" s="113"/>
      <c r="K19" s="113"/>
      <c r="L19" s="133">
        <f t="shared" si="0"/>
        <v>0</v>
      </c>
      <c r="M19" s="136" t="e">
        <f t="shared" si="1"/>
        <v>#DIV/0!</v>
      </c>
      <c r="N19" s="122" t="s">
        <v>74</v>
      </c>
      <c r="O19" s="124" t="s">
        <v>163</v>
      </c>
      <c r="P19" s="131"/>
      <c r="Q19" s="131"/>
      <c r="R19" s="131"/>
      <c r="S19" s="131"/>
      <c r="T19" s="131"/>
      <c r="U19" s="131"/>
      <c r="V19" s="123"/>
      <c r="W19" s="123"/>
      <c r="X19" s="123"/>
      <c r="Y19" s="114"/>
      <c r="Z19" s="123"/>
      <c r="AA19" s="123"/>
      <c r="AB19" s="114"/>
      <c r="AC19" s="143"/>
      <c r="AD19" s="131">
        <v>39.71</v>
      </c>
      <c r="AE19" s="132">
        <v>0</v>
      </c>
      <c r="AF19" s="144">
        <v>0</v>
      </c>
      <c r="AG19" s="208"/>
      <c r="AH19" s="208"/>
      <c r="AI19" s="213"/>
    </row>
    <row r="20" spans="1:35" ht="86.1" customHeight="1">
      <c r="A20" s="174">
        <v>16</v>
      </c>
      <c r="B20" s="116">
        <v>5900970</v>
      </c>
      <c r="C20" s="117" t="s">
        <v>164</v>
      </c>
      <c r="D20" s="118" t="s">
        <v>140</v>
      </c>
      <c r="E20" s="118" t="s">
        <v>49</v>
      </c>
      <c r="F20" s="118" t="s">
        <v>165</v>
      </c>
      <c r="G20" s="118" t="s">
        <v>52</v>
      </c>
      <c r="H20" s="118" t="s">
        <v>166</v>
      </c>
      <c r="I20" s="112" t="s">
        <v>41</v>
      </c>
      <c r="J20" s="113"/>
      <c r="K20" s="113"/>
      <c r="L20" s="133">
        <f t="shared" si="0"/>
        <v>0</v>
      </c>
      <c r="M20" s="136" t="e">
        <f t="shared" si="1"/>
        <v>#DIV/0!</v>
      </c>
      <c r="N20" s="122" t="s">
        <v>126</v>
      </c>
      <c r="O20" s="124" t="s">
        <v>167</v>
      </c>
      <c r="P20" s="131" t="s">
        <v>168</v>
      </c>
      <c r="Q20" s="131"/>
      <c r="R20" s="131"/>
      <c r="S20" s="131"/>
      <c r="T20" s="131"/>
      <c r="U20" s="131"/>
      <c r="V20" s="132">
        <v>0</v>
      </c>
      <c r="W20" s="132">
        <v>0</v>
      </c>
      <c r="X20" s="132">
        <v>0</v>
      </c>
      <c r="Y20" s="131">
        <v>0</v>
      </c>
      <c r="Z20" s="132">
        <v>6</v>
      </c>
      <c r="AA20" s="132">
        <f ca="1">TODAY() - DATE(2024,12,6)</f>
        <v>375</v>
      </c>
      <c r="AB20" s="131">
        <v>0</v>
      </c>
      <c r="AC20" s="147">
        <f>3/4</f>
        <v>0.75</v>
      </c>
      <c r="AD20" s="131">
        <v>95.19</v>
      </c>
      <c r="AE20" s="132">
        <v>0</v>
      </c>
      <c r="AF20" s="144">
        <v>0</v>
      </c>
      <c r="AG20" s="226" t="s">
        <v>132</v>
      </c>
      <c r="AH20" s="226"/>
      <c r="AI20" s="227"/>
    </row>
    <row r="21" spans="1:35" ht="142.5" customHeight="1">
      <c r="A21" s="174">
        <v>17</v>
      </c>
      <c r="B21" s="116">
        <v>5900982</v>
      </c>
      <c r="C21" s="117" t="s">
        <v>169</v>
      </c>
      <c r="D21" s="118" t="s">
        <v>170</v>
      </c>
      <c r="E21" s="118" t="s">
        <v>63</v>
      </c>
      <c r="F21" s="118" t="s">
        <v>171</v>
      </c>
      <c r="G21" s="128" t="s">
        <v>172</v>
      </c>
      <c r="H21" s="118"/>
      <c r="I21" s="112" t="s">
        <v>41</v>
      </c>
      <c r="J21" s="113"/>
      <c r="K21" s="113"/>
      <c r="L21" s="133">
        <f t="shared" si="0"/>
        <v>0</v>
      </c>
      <c r="M21" s="136" t="e">
        <f t="shared" si="1"/>
        <v>#DIV/0!</v>
      </c>
      <c r="N21" s="122" t="s">
        <v>74</v>
      </c>
      <c r="O21" s="124" t="s">
        <v>173</v>
      </c>
      <c r="P21" s="131" t="s">
        <v>174</v>
      </c>
      <c r="Q21" s="131" t="s">
        <v>98</v>
      </c>
      <c r="R21" s="131" t="s">
        <v>175</v>
      </c>
      <c r="S21" s="131"/>
      <c r="T21" s="131" t="s">
        <v>118</v>
      </c>
      <c r="U21" s="131" t="s">
        <v>176</v>
      </c>
      <c r="V21" s="132">
        <v>0</v>
      </c>
      <c r="W21" s="132">
        <v>0</v>
      </c>
      <c r="X21" s="132">
        <v>0</v>
      </c>
      <c r="Y21" s="131">
        <v>2</v>
      </c>
      <c r="Z21" s="132">
        <v>2</v>
      </c>
      <c r="AA21" s="132">
        <f ca="1">TODAY() - DATE(2025,7,13)</f>
        <v>156</v>
      </c>
      <c r="AB21" s="131">
        <v>14</v>
      </c>
      <c r="AC21" s="143"/>
      <c r="AD21" s="131">
        <v>98.34</v>
      </c>
      <c r="AE21" s="132">
        <v>1.73</v>
      </c>
      <c r="AF21" s="144">
        <v>15600</v>
      </c>
      <c r="AG21" s="208" t="s">
        <v>177</v>
      </c>
      <c r="AH21" s="208"/>
      <c r="AI21" s="213"/>
    </row>
    <row r="22" spans="1:35" ht="114.95" customHeight="1">
      <c r="A22" s="174">
        <v>18</v>
      </c>
      <c r="B22" s="116">
        <v>5900983</v>
      </c>
      <c r="C22" s="117" t="s">
        <v>178</v>
      </c>
      <c r="D22" s="118" t="s">
        <v>170</v>
      </c>
      <c r="E22" s="118" t="s">
        <v>63</v>
      </c>
      <c r="F22" s="118" t="s">
        <v>171</v>
      </c>
      <c r="G22" s="128" t="s">
        <v>179</v>
      </c>
      <c r="H22" s="118"/>
      <c r="I22" s="112" t="s">
        <v>41</v>
      </c>
      <c r="J22" s="113"/>
      <c r="K22" s="113"/>
      <c r="L22" s="133">
        <f t="shared" si="0"/>
        <v>0</v>
      </c>
      <c r="M22" s="136" t="e">
        <f t="shared" si="1"/>
        <v>#DIV/0!</v>
      </c>
      <c r="N22" s="122" t="s">
        <v>74</v>
      </c>
      <c r="O22" s="124" t="s">
        <v>180</v>
      </c>
      <c r="P22" s="131" t="s">
        <v>181</v>
      </c>
      <c r="Q22" s="131" t="s">
        <v>182</v>
      </c>
      <c r="R22" s="131" t="s">
        <v>175</v>
      </c>
      <c r="S22" s="131"/>
      <c r="T22" s="131"/>
      <c r="U22" s="131"/>
      <c r="V22" s="132">
        <v>0</v>
      </c>
      <c r="W22" s="132">
        <v>0</v>
      </c>
      <c r="X22" s="132">
        <v>0</v>
      </c>
      <c r="Y22" s="131">
        <v>2</v>
      </c>
      <c r="Z22" s="132">
        <v>0</v>
      </c>
      <c r="AA22" s="132">
        <v>0</v>
      </c>
      <c r="AB22" s="131">
        <v>13</v>
      </c>
      <c r="AC22" s="143"/>
      <c r="AD22" s="131">
        <v>78.209999999999994</v>
      </c>
      <c r="AE22" s="176">
        <v>6.1</v>
      </c>
      <c r="AF22" s="144">
        <v>5700</v>
      </c>
      <c r="AG22" s="225" t="s">
        <v>183</v>
      </c>
      <c r="AH22" s="208"/>
      <c r="AI22" s="213"/>
    </row>
    <row r="23" spans="1:35" ht="86.1" customHeight="1">
      <c r="A23" s="174">
        <v>19</v>
      </c>
      <c r="B23" s="116">
        <v>5900996</v>
      </c>
      <c r="C23" s="117" t="s">
        <v>184</v>
      </c>
      <c r="D23" s="118" t="s">
        <v>37</v>
      </c>
      <c r="E23" s="118" t="s">
        <v>38</v>
      </c>
      <c r="F23" s="118" t="s">
        <v>75</v>
      </c>
      <c r="G23" s="118" t="s">
        <v>185</v>
      </c>
      <c r="H23" s="118" t="s">
        <v>89</v>
      </c>
      <c r="I23" s="113" t="s">
        <v>80</v>
      </c>
      <c r="J23" s="113"/>
      <c r="K23" s="113"/>
      <c r="L23" s="133">
        <f t="shared" si="0"/>
        <v>0</v>
      </c>
      <c r="M23" s="136" t="e">
        <f t="shared" si="1"/>
        <v>#DIV/0!</v>
      </c>
      <c r="N23" s="122" t="s">
        <v>186</v>
      </c>
      <c r="O23" s="124"/>
      <c r="P23" s="131"/>
      <c r="Q23" s="131"/>
      <c r="R23" s="131"/>
      <c r="S23" s="131"/>
      <c r="T23" s="131"/>
      <c r="U23" s="131"/>
      <c r="V23" s="123"/>
      <c r="W23" s="123"/>
      <c r="X23" s="123"/>
      <c r="Y23" s="114"/>
      <c r="Z23" s="123"/>
      <c r="AA23" s="123"/>
      <c r="AB23" s="114"/>
      <c r="AC23" s="143"/>
      <c r="AD23" s="131">
        <v>78.790000000000006</v>
      </c>
      <c r="AE23" s="132">
        <v>0</v>
      </c>
      <c r="AF23" s="144">
        <v>0</v>
      </c>
      <c r="AG23" s="226" t="s">
        <v>132</v>
      </c>
      <c r="AH23" s="226"/>
      <c r="AI23" s="227"/>
    </row>
    <row r="24" spans="1:35" ht="86.1" customHeight="1">
      <c r="A24" s="174">
        <v>20</v>
      </c>
      <c r="B24" s="116">
        <v>5900974</v>
      </c>
      <c r="C24" s="117" t="s">
        <v>187</v>
      </c>
      <c r="D24" s="118" t="s">
        <v>122</v>
      </c>
      <c r="E24" s="118" t="s">
        <v>49</v>
      </c>
      <c r="F24" s="118" t="s">
        <v>188</v>
      </c>
      <c r="G24" s="128" t="s">
        <v>189</v>
      </c>
      <c r="H24" s="118"/>
      <c r="I24" s="113" t="s">
        <v>41</v>
      </c>
      <c r="J24" s="134">
        <v>76</v>
      </c>
      <c r="K24" s="134">
        <v>142</v>
      </c>
      <c r="L24" s="133">
        <f t="shared" si="0"/>
        <v>-66</v>
      </c>
      <c r="M24" s="136">
        <f t="shared" si="1"/>
        <v>1.868421052631579</v>
      </c>
      <c r="N24" s="122" t="s">
        <v>190</v>
      </c>
      <c r="O24" s="124" t="s">
        <v>191</v>
      </c>
      <c r="P24" s="131" t="s">
        <v>192</v>
      </c>
      <c r="Q24" s="131" t="s">
        <v>193</v>
      </c>
      <c r="R24" s="131" t="s">
        <v>194</v>
      </c>
      <c r="S24" s="131"/>
      <c r="T24" s="131"/>
      <c r="U24" s="131"/>
      <c r="V24" s="132">
        <v>0</v>
      </c>
      <c r="W24" s="132">
        <v>0</v>
      </c>
      <c r="X24" s="132">
        <v>0</v>
      </c>
      <c r="Y24" s="131">
        <v>1</v>
      </c>
      <c r="Z24" s="132">
        <v>0</v>
      </c>
      <c r="AA24" s="132">
        <v>0</v>
      </c>
      <c r="AB24" s="131">
        <f>8+7+3</f>
        <v>18</v>
      </c>
      <c r="AC24" s="143"/>
      <c r="AD24" s="131">
        <v>96.63</v>
      </c>
      <c r="AE24" s="132">
        <v>0</v>
      </c>
      <c r="AF24" s="144">
        <v>0</v>
      </c>
      <c r="AG24" s="208" t="s">
        <v>195</v>
      </c>
      <c r="AH24" s="208"/>
      <c r="AI24" s="213"/>
    </row>
    <row r="25" spans="1:35" ht="86.1" customHeight="1">
      <c r="A25" s="174">
        <v>21</v>
      </c>
      <c r="B25" s="116">
        <v>5900863</v>
      </c>
      <c r="C25" s="117" t="s">
        <v>196</v>
      </c>
      <c r="D25" s="118" t="s">
        <v>197</v>
      </c>
      <c r="E25" s="118" t="s">
        <v>38</v>
      </c>
      <c r="F25" s="118" t="s">
        <v>198</v>
      </c>
      <c r="G25" s="128" t="s">
        <v>199</v>
      </c>
      <c r="H25" s="118"/>
      <c r="I25" s="113" t="s">
        <v>200</v>
      </c>
      <c r="J25" s="113"/>
      <c r="K25" s="113"/>
      <c r="L25" s="133">
        <f t="shared" si="0"/>
        <v>0</v>
      </c>
      <c r="M25" s="136" t="e">
        <f t="shared" si="1"/>
        <v>#DIV/0!</v>
      </c>
      <c r="N25" s="122" t="s">
        <v>201</v>
      </c>
      <c r="O25" s="124" t="s">
        <v>202</v>
      </c>
      <c r="P25" s="131" t="s">
        <v>203</v>
      </c>
      <c r="Q25" s="131"/>
      <c r="R25" s="131"/>
      <c r="S25" s="131"/>
      <c r="T25" s="131" t="s">
        <v>204</v>
      </c>
      <c r="U25" s="131"/>
      <c r="V25" s="140">
        <v>0</v>
      </c>
      <c r="W25" s="140">
        <v>0</v>
      </c>
      <c r="X25" s="140">
        <v>0</v>
      </c>
      <c r="Y25" s="141">
        <v>0</v>
      </c>
      <c r="Z25" s="140">
        <v>3</v>
      </c>
      <c r="AA25" s="132">
        <f ca="1">TODAY() - DATE(2025,7,18)</f>
        <v>151</v>
      </c>
      <c r="AB25" s="141">
        <v>21</v>
      </c>
      <c r="AC25" s="148">
        <f>2/2</f>
        <v>1</v>
      </c>
      <c r="AD25" s="141">
        <v>56.55</v>
      </c>
      <c r="AE25" s="132">
        <v>1.55</v>
      </c>
      <c r="AF25" s="144">
        <v>21200</v>
      </c>
      <c r="AG25" s="208" t="s">
        <v>154</v>
      </c>
      <c r="AH25" s="208"/>
      <c r="AI25" s="213"/>
    </row>
    <row r="26" spans="1:35" ht="86.1" customHeight="1">
      <c r="A26" s="174">
        <v>22</v>
      </c>
      <c r="B26" s="116">
        <v>5900936</v>
      </c>
      <c r="C26" s="117" t="s">
        <v>205</v>
      </c>
      <c r="D26" s="118" t="s">
        <v>206</v>
      </c>
      <c r="E26" s="118" t="s">
        <v>103</v>
      </c>
      <c r="F26" s="118" t="s">
        <v>207</v>
      </c>
      <c r="G26" s="118" t="s">
        <v>208</v>
      </c>
      <c r="H26" s="128" t="s">
        <v>209</v>
      </c>
      <c r="I26" s="113" t="s">
        <v>41</v>
      </c>
      <c r="J26" s="134">
        <v>62</v>
      </c>
      <c r="K26" s="134">
        <v>62</v>
      </c>
      <c r="L26" s="133">
        <f t="shared" si="0"/>
        <v>0</v>
      </c>
      <c r="M26" s="136">
        <f t="shared" si="1"/>
        <v>1</v>
      </c>
      <c r="N26" s="122" t="s">
        <v>210</v>
      </c>
      <c r="O26" s="124" t="s">
        <v>211</v>
      </c>
      <c r="P26" s="131" t="s">
        <v>212</v>
      </c>
      <c r="Q26" s="131" t="s">
        <v>213</v>
      </c>
      <c r="R26" s="131"/>
      <c r="S26" s="131"/>
      <c r="T26" s="131" t="s">
        <v>214</v>
      </c>
      <c r="U26" s="131"/>
      <c r="V26" s="132">
        <v>0</v>
      </c>
      <c r="W26" s="132">
        <v>0</v>
      </c>
      <c r="X26" s="132">
        <v>0</v>
      </c>
      <c r="Y26" s="131">
        <v>0</v>
      </c>
      <c r="Z26" s="132">
        <f>4+2</f>
        <v>6</v>
      </c>
      <c r="AA26" s="132">
        <f ca="1">TODAY() - DATE(2025,3,31)</f>
        <v>260</v>
      </c>
      <c r="AB26" s="131">
        <f>2+4+3</f>
        <v>9</v>
      </c>
      <c r="AC26" s="143"/>
      <c r="AD26" s="131">
        <v>77.78</v>
      </c>
      <c r="AE26" s="132">
        <v>2.34</v>
      </c>
      <c r="AF26" s="144">
        <v>6800</v>
      </c>
      <c r="AG26" s="208" t="s">
        <v>195</v>
      </c>
      <c r="AH26" s="208"/>
      <c r="AI26" s="213"/>
    </row>
    <row r="27" spans="1:35" ht="86.1" customHeight="1">
      <c r="A27" s="174">
        <v>23</v>
      </c>
      <c r="B27" s="116">
        <v>5900985</v>
      </c>
      <c r="C27" s="117" t="s">
        <v>215</v>
      </c>
      <c r="D27" s="118" t="s">
        <v>216</v>
      </c>
      <c r="E27" s="118" t="s">
        <v>217</v>
      </c>
      <c r="F27" s="129" t="s">
        <v>218</v>
      </c>
      <c r="G27" s="118" t="s">
        <v>219</v>
      </c>
      <c r="H27" s="118"/>
      <c r="I27" s="113" t="s">
        <v>200</v>
      </c>
      <c r="J27" s="113"/>
      <c r="K27" s="113"/>
      <c r="L27" s="133">
        <f t="shared" si="0"/>
        <v>0</v>
      </c>
      <c r="M27" s="136" t="e">
        <f t="shared" si="1"/>
        <v>#DIV/0!</v>
      </c>
      <c r="N27" s="122" t="s">
        <v>126</v>
      </c>
      <c r="O27" s="124" t="s">
        <v>150</v>
      </c>
      <c r="P27" s="131" t="s">
        <v>220</v>
      </c>
      <c r="Q27" s="141" t="s">
        <v>221</v>
      </c>
      <c r="R27" s="131"/>
      <c r="S27" s="131"/>
      <c r="T27" s="131" t="s">
        <v>222</v>
      </c>
      <c r="U27" s="131"/>
      <c r="V27" s="140">
        <v>0</v>
      </c>
      <c r="W27" s="140">
        <v>0</v>
      </c>
      <c r="X27" s="140">
        <v>0</v>
      </c>
      <c r="Y27" s="141">
        <v>1</v>
      </c>
      <c r="Z27" s="140">
        <v>10</v>
      </c>
      <c r="AA27" s="140">
        <f ca="1">TODAY() - DATE(2025,7,27)</f>
        <v>142</v>
      </c>
      <c r="AB27" s="141">
        <v>3</v>
      </c>
      <c r="AC27" s="142">
        <f>5/6</f>
        <v>0.83333333333333337</v>
      </c>
      <c r="AD27" s="141">
        <v>61.42</v>
      </c>
      <c r="AE27" s="132">
        <v>1.21</v>
      </c>
      <c r="AF27" s="144">
        <v>48100</v>
      </c>
      <c r="AG27" s="208" t="s">
        <v>154</v>
      </c>
      <c r="AH27" s="208"/>
      <c r="AI27" s="213"/>
    </row>
    <row r="28" spans="1:35" ht="86.1" customHeight="1">
      <c r="A28" s="174">
        <v>24</v>
      </c>
      <c r="B28" s="116">
        <v>5900988</v>
      </c>
      <c r="C28" s="117" t="s">
        <v>223</v>
      </c>
      <c r="D28" s="118" t="s">
        <v>224</v>
      </c>
      <c r="E28" s="118" t="s">
        <v>38</v>
      </c>
      <c r="F28" s="118" t="s">
        <v>225</v>
      </c>
      <c r="G28" s="118" t="s">
        <v>226</v>
      </c>
      <c r="H28" s="118"/>
      <c r="I28" s="113" t="s">
        <v>41</v>
      </c>
      <c r="J28" s="113"/>
      <c r="K28" s="113"/>
      <c r="L28" s="133">
        <f t="shared" si="0"/>
        <v>0</v>
      </c>
      <c r="M28" s="136" t="e">
        <f t="shared" si="1"/>
        <v>#DIV/0!</v>
      </c>
      <c r="N28" s="122" t="s">
        <v>74</v>
      </c>
      <c r="O28" s="124" t="s">
        <v>227</v>
      </c>
      <c r="P28" s="131" t="s">
        <v>228</v>
      </c>
      <c r="Q28" s="131"/>
      <c r="R28" s="131"/>
      <c r="S28" s="131"/>
      <c r="T28" s="131"/>
      <c r="U28" s="131"/>
      <c r="V28" s="132">
        <v>0</v>
      </c>
      <c r="W28" s="132">
        <v>0</v>
      </c>
      <c r="X28" s="132">
        <v>0</v>
      </c>
      <c r="Y28" s="131">
        <v>0</v>
      </c>
      <c r="Z28" s="132">
        <v>0</v>
      </c>
      <c r="AA28" s="132">
        <v>0</v>
      </c>
      <c r="AB28" s="131">
        <v>14</v>
      </c>
      <c r="AC28" s="143"/>
      <c r="AD28" s="131">
        <v>62.6</v>
      </c>
      <c r="AE28" s="132">
        <v>0.18</v>
      </c>
      <c r="AF28" s="144">
        <v>600</v>
      </c>
      <c r="AG28" s="226" t="s">
        <v>229</v>
      </c>
      <c r="AH28" s="226"/>
      <c r="AI28" s="227"/>
    </row>
    <row r="29" spans="1:35" ht="86.1" customHeight="1">
      <c r="A29" s="174">
        <v>25</v>
      </c>
      <c r="B29" s="116">
        <v>5900991</v>
      </c>
      <c r="C29" s="117" t="s">
        <v>230</v>
      </c>
      <c r="D29" s="118" t="s">
        <v>231</v>
      </c>
      <c r="E29" s="118" t="s">
        <v>103</v>
      </c>
      <c r="F29" s="118" t="s">
        <v>232</v>
      </c>
      <c r="G29" s="118" t="s">
        <v>233</v>
      </c>
      <c r="H29" s="128" t="s">
        <v>234</v>
      </c>
      <c r="I29" s="113" t="s">
        <v>80</v>
      </c>
      <c r="J29" s="134">
        <v>29</v>
      </c>
      <c r="K29" s="134">
        <v>29</v>
      </c>
      <c r="L29" s="133">
        <f t="shared" si="0"/>
        <v>0</v>
      </c>
      <c r="M29" s="136">
        <f t="shared" si="1"/>
        <v>1</v>
      </c>
      <c r="N29" s="122" t="s">
        <v>235</v>
      </c>
      <c r="O29" s="124" t="s">
        <v>236</v>
      </c>
      <c r="P29" s="131"/>
      <c r="Q29" s="131"/>
      <c r="R29" s="131"/>
      <c r="S29" s="131"/>
      <c r="T29" s="131"/>
      <c r="U29" s="131"/>
      <c r="V29" s="123"/>
      <c r="W29" s="123"/>
      <c r="X29" s="123"/>
      <c r="Y29" s="114"/>
      <c r="Z29" s="123"/>
      <c r="AA29" s="123"/>
      <c r="AB29" s="114"/>
      <c r="AC29" s="143"/>
      <c r="AD29" s="131">
        <v>80.650000000000006</v>
      </c>
      <c r="AE29" s="145">
        <v>0</v>
      </c>
      <c r="AF29" s="144">
        <v>0</v>
      </c>
      <c r="AG29" s="208" t="s">
        <v>195</v>
      </c>
      <c r="AH29" s="208"/>
      <c r="AI29" s="213"/>
    </row>
    <row r="30" spans="1:35" ht="86.1" customHeight="1">
      <c r="A30" s="174">
        <v>26</v>
      </c>
      <c r="B30" s="116">
        <v>5901029</v>
      </c>
      <c r="C30" s="117" t="s">
        <v>237</v>
      </c>
      <c r="D30" s="118" t="s">
        <v>224</v>
      </c>
      <c r="E30" s="118" t="s">
        <v>49</v>
      </c>
      <c r="F30" s="118" t="s">
        <v>238</v>
      </c>
      <c r="G30" s="118" t="s">
        <v>239</v>
      </c>
      <c r="H30" s="128" t="s">
        <v>240</v>
      </c>
      <c r="I30" s="113" t="s">
        <v>41</v>
      </c>
      <c r="J30" s="113"/>
      <c r="K30" s="113"/>
      <c r="L30" s="133">
        <f t="shared" si="0"/>
        <v>0</v>
      </c>
      <c r="M30" s="136" t="e">
        <f t="shared" si="1"/>
        <v>#DIV/0!</v>
      </c>
      <c r="N30" s="122" t="s">
        <v>241</v>
      </c>
      <c r="O30" s="124" t="s">
        <v>242</v>
      </c>
      <c r="P30" s="131" t="s">
        <v>182</v>
      </c>
      <c r="Q30" s="131"/>
      <c r="R30" s="131"/>
      <c r="S30" s="131"/>
      <c r="T30" s="131"/>
      <c r="U30" s="131"/>
      <c r="V30" s="132">
        <v>0</v>
      </c>
      <c r="W30" s="132">
        <v>0</v>
      </c>
      <c r="X30" s="132">
        <v>0</v>
      </c>
      <c r="Y30" s="131">
        <v>0</v>
      </c>
      <c r="Z30" s="132">
        <v>0</v>
      </c>
      <c r="AA30" s="132">
        <v>0</v>
      </c>
      <c r="AB30" s="131">
        <v>7</v>
      </c>
      <c r="AC30" s="143"/>
      <c r="AD30" s="131">
        <v>48.4</v>
      </c>
      <c r="AE30" s="132">
        <v>1.05</v>
      </c>
      <c r="AF30" s="144">
        <v>0</v>
      </c>
      <c r="AG30" s="208" t="s">
        <v>195</v>
      </c>
      <c r="AH30" s="208"/>
      <c r="AI30" s="213"/>
    </row>
    <row r="31" spans="1:35" ht="102" customHeight="1">
      <c r="A31" s="174">
        <v>27</v>
      </c>
      <c r="B31" s="116">
        <v>5900616</v>
      </c>
      <c r="C31" s="118" t="s">
        <v>243</v>
      </c>
      <c r="D31" s="118" t="s">
        <v>224</v>
      </c>
      <c r="E31" s="118" t="s">
        <v>38</v>
      </c>
      <c r="F31" s="118" t="s">
        <v>244</v>
      </c>
      <c r="G31" s="118" t="s">
        <v>245</v>
      </c>
      <c r="H31" s="128" t="s">
        <v>246</v>
      </c>
      <c r="I31" s="113" t="s">
        <v>41</v>
      </c>
      <c r="J31" s="113">
        <v>13</v>
      </c>
      <c r="K31" s="113">
        <v>12</v>
      </c>
      <c r="L31" s="133">
        <f t="shared" si="0"/>
        <v>1</v>
      </c>
      <c r="M31" s="136">
        <f t="shared" si="1"/>
        <v>0.92307692307692313</v>
      </c>
      <c r="N31" s="122" t="s">
        <v>190</v>
      </c>
      <c r="O31" s="124" t="s">
        <v>247</v>
      </c>
      <c r="P31" s="131" t="s">
        <v>248</v>
      </c>
      <c r="Q31" s="131"/>
      <c r="R31" s="131"/>
      <c r="S31" s="131"/>
      <c r="T31" s="131"/>
      <c r="U31" s="131"/>
      <c r="V31" s="132"/>
      <c r="W31" s="132"/>
      <c r="X31" s="132"/>
      <c r="Y31" s="131">
        <v>7</v>
      </c>
      <c r="Z31" s="132">
        <v>0</v>
      </c>
      <c r="AA31" s="132">
        <v>0</v>
      </c>
      <c r="AB31" s="131">
        <v>31</v>
      </c>
      <c r="AC31" s="147">
        <f>8/8</f>
        <v>1</v>
      </c>
      <c r="AD31" s="131"/>
      <c r="AE31" s="132">
        <v>1.06</v>
      </c>
      <c r="AF31" s="144">
        <v>1500</v>
      </c>
      <c r="AG31" s="208" t="s">
        <v>249</v>
      </c>
      <c r="AH31" s="208"/>
      <c r="AI31" s="213"/>
    </row>
    <row r="32" spans="1:35" ht="75.599999999999994" customHeight="1">
      <c r="A32" s="174">
        <v>28</v>
      </c>
      <c r="B32" s="116">
        <v>5901044</v>
      </c>
      <c r="C32" s="117" t="s">
        <v>250</v>
      </c>
      <c r="D32" s="118" t="s">
        <v>251</v>
      </c>
      <c r="E32" s="118" t="s">
        <v>103</v>
      </c>
      <c r="F32" s="118" t="s">
        <v>252</v>
      </c>
      <c r="G32" s="118" t="s">
        <v>253</v>
      </c>
      <c r="H32" s="128" t="s">
        <v>254</v>
      </c>
      <c r="I32" s="113" t="s">
        <v>41</v>
      </c>
      <c r="J32" s="134">
        <v>53</v>
      </c>
      <c r="K32" s="134">
        <v>49</v>
      </c>
      <c r="L32" s="133">
        <f t="shared" si="0"/>
        <v>4</v>
      </c>
      <c r="M32" s="136">
        <f t="shared" si="1"/>
        <v>0.92452830188679247</v>
      </c>
      <c r="N32" s="122" t="s">
        <v>74</v>
      </c>
      <c r="O32" s="124" t="s">
        <v>255</v>
      </c>
      <c r="P32" s="131" t="s">
        <v>256</v>
      </c>
      <c r="Q32" s="131"/>
      <c r="R32" s="131"/>
      <c r="S32" s="131"/>
      <c r="T32" s="131"/>
      <c r="U32" s="131"/>
      <c r="V32" s="132">
        <v>0</v>
      </c>
      <c r="W32" s="132">
        <v>0</v>
      </c>
      <c r="X32" s="132">
        <v>0</v>
      </c>
      <c r="Y32" s="131">
        <v>0</v>
      </c>
      <c r="Z32" s="132">
        <v>4</v>
      </c>
      <c r="AA32" s="132">
        <f ca="1">TODAY() - DATE(2025,8,3)</f>
        <v>135</v>
      </c>
      <c r="AB32" s="131">
        <v>1</v>
      </c>
      <c r="AC32" s="143"/>
      <c r="AD32" s="131">
        <v>80.180000000000007</v>
      </c>
      <c r="AE32" s="132">
        <v>0</v>
      </c>
      <c r="AF32" s="144">
        <v>0</v>
      </c>
      <c r="AG32" s="208" t="s">
        <v>195</v>
      </c>
      <c r="AH32" s="208"/>
      <c r="AI32" s="213"/>
    </row>
    <row r="33" spans="1:35" ht="69" customHeight="1">
      <c r="A33" s="174">
        <v>29</v>
      </c>
      <c r="B33" s="116">
        <v>5901062</v>
      </c>
      <c r="C33" s="117" t="s">
        <v>257</v>
      </c>
      <c r="D33" s="118" t="s">
        <v>140</v>
      </c>
      <c r="E33" s="118" t="s">
        <v>49</v>
      </c>
      <c r="F33" s="118"/>
      <c r="G33" s="118"/>
      <c r="H33" s="118"/>
      <c r="I33" s="113" t="s">
        <v>80</v>
      </c>
      <c r="J33" s="113"/>
      <c r="K33" s="113"/>
      <c r="L33" s="133">
        <f t="shared" si="0"/>
        <v>0</v>
      </c>
      <c r="M33" s="136" t="e">
        <f t="shared" si="1"/>
        <v>#DIV/0!</v>
      </c>
      <c r="N33" s="122" t="s">
        <v>74</v>
      </c>
      <c r="O33" s="124" t="s">
        <v>258</v>
      </c>
      <c r="P33" s="131"/>
      <c r="Q33" s="130"/>
      <c r="R33" s="130"/>
      <c r="S33" s="130"/>
      <c r="T33" s="130"/>
      <c r="U33" s="130"/>
      <c r="V33" s="132">
        <v>0</v>
      </c>
      <c r="W33" s="132">
        <v>0</v>
      </c>
      <c r="X33" s="132">
        <v>0</v>
      </c>
      <c r="Y33" s="131">
        <v>0</v>
      </c>
      <c r="Z33" s="132">
        <v>0</v>
      </c>
      <c r="AA33" s="132">
        <v>0</v>
      </c>
      <c r="AB33" s="131">
        <v>7</v>
      </c>
      <c r="AC33" s="143"/>
      <c r="AD33" s="131"/>
      <c r="AE33" s="146">
        <v>0</v>
      </c>
      <c r="AF33" s="144">
        <v>0</v>
      </c>
      <c r="AG33" s="228" t="s">
        <v>132</v>
      </c>
      <c r="AH33" s="228"/>
      <c r="AI33" s="229"/>
    </row>
    <row r="34" spans="1:35" ht="66.75" customHeight="1">
      <c r="A34" s="174">
        <v>30</v>
      </c>
      <c r="B34" s="116">
        <v>5901055</v>
      </c>
      <c r="C34" s="117" t="s">
        <v>259</v>
      </c>
      <c r="D34" s="118" t="s">
        <v>260</v>
      </c>
      <c r="E34" s="118" t="s">
        <v>49</v>
      </c>
      <c r="F34" s="118" t="s">
        <v>182</v>
      </c>
      <c r="G34" s="118" t="s">
        <v>261</v>
      </c>
      <c r="H34" s="118"/>
      <c r="I34" s="113" t="s">
        <v>80</v>
      </c>
      <c r="J34" s="113"/>
      <c r="K34" s="113"/>
      <c r="L34" s="133">
        <f t="shared" si="0"/>
        <v>0</v>
      </c>
      <c r="M34" s="136" t="e">
        <f t="shared" si="1"/>
        <v>#DIV/0!</v>
      </c>
      <c r="N34" s="122" t="s">
        <v>74</v>
      </c>
      <c r="O34" s="124" t="s">
        <v>262</v>
      </c>
      <c r="P34" s="131" t="s">
        <v>263</v>
      </c>
      <c r="Q34" s="141">
        <v>9.2025000000000006</v>
      </c>
      <c r="R34" s="141">
        <v>10.202500000000001</v>
      </c>
      <c r="S34" s="130"/>
      <c r="T34" s="130" t="s">
        <v>264</v>
      </c>
      <c r="U34" s="130"/>
      <c r="V34" s="132">
        <v>0</v>
      </c>
      <c r="W34" s="132">
        <v>1</v>
      </c>
      <c r="X34" s="132">
        <f ca="1">TODAY() - DATE(2025,8,28)</f>
        <v>110</v>
      </c>
      <c r="Y34" s="131">
        <v>0</v>
      </c>
      <c r="Z34" s="132">
        <v>4</v>
      </c>
      <c r="AA34" s="132">
        <f ca="1">TODAY() - DATE(2025,8,28)</f>
        <v>110</v>
      </c>
      <c r="AB34" s="131">
        <v>9</v>
      </c>
      <c r="AC34" s="143"/>
      <c r="AD34" s="131">
        <v>37.619999999999997</v>
      </c>
      <c r="AE34" s="146">
        <v>0</v>
      </c>
      <c r="AF34" s="144">
        <v>2700</v>
      </c>
      <c r="AG34" s="208" t="s">
        <v>195</v>
      </c>
      <c r="AH34" s="208"/>
      <c r="AI34" s="213"/>
    </row>
    <row r="35" spans="1:35" ht="72.75" customHeight="1">
      <c r="A35" s="174">
        <v>31</v>
      </c>
      <c r="B35" s="116">
        <v>5901078</v>
      </c>
      <c r="C35" s="117" t="s">
        <v>265</v>
      </c>
      <c r="D35" s="118" t="s">
        <v>224</v>
      </c>
      <c r="E35" s="118" t="s">
        <v>266</v>
      </c>
      <c r="F35" s="118" t="s">
        <v>267</v>
      </c>
      <c r="G35" s="118" t="s">
        <v>268</v>
      </c>
      <c r="H35" s="118" t="s">
        <v>269</v>
      </c>
      <c r="I35" s="113" t="s">
        <v>41</v>
      </c>
      <c r="J35" s="113"/>
      <c r="K35" s="134">
        <v>2</v>
      </c>
      <c r="L35" s="133">
        <f t="shared" si="0"/>
        <v>-2</v>
      </c>
      <c r="M35" s="136" t="e">
        <f t="shared" si="1"/>
        <v>#DIV/0!</v>
      </c>
      <c r="N35" s="122" t="s">
        <v>74</v>
      </c>
      <c r="O35" s="124" t="s">
        <v>191</v>
      </c>
      <c r="P35" s="131" t="s">
        <v>270</v>
      </c>
      <c r="Q35" s="131" t="s">
        <v>271</v>
      </c>
      <c r="R35" s="130"/>
      <c r="S35" s="130"/>
      <c r="T35" s="130"/>
      <c r="U35" s="130"/>
      <c r="V35" s="132">
        <v>0</v>
      </c>
      <c r="W35" s="132">
        <v>0</v>
      </c>
      <c r="X35" s="132">
        <v>0</v>
      </c>
      <c r="Y35" s="131">
        <v>0</v>
      </c>
      <c r="Z35" s="132">
        <f>8+4</f>
        <v>12</v>
      </c>
      <c r="AA35" s="132">
        <f ca="1">TODAY() - DATE(2025,7,21)</f>
        <v>148</v>
      </c>
      <c r="AB35" s="131">
        <v>0</v>
      </c>
      <c r="AC35" s="143"/>
      <c r="AD35" s="131">
        <v>81.37</v>
      </c>
      <c r="AE35" s="146">
        <v>0</v>
      </c>
      <c r="AF35" s="144">
        <v>0</v>
      </c>
      <c r="AG35" s="228" t="s">
        <v>132</v>
      </c>
      <c r="AH35" s="228"/>
      <c r="AI35" s="229"/>
    </row>
    <row r="36" spans="1:35" ht="72.75" customHeight="1">
      <c r="A36" s="174">
        <v>32</v>
      </c>
      <c r="B36" s="116">
        <v>5901040</v>
      </c>
      <c r="C36" s="117" t="s">
        <v>272</v>
      </c>
      <c r="D36" s="118" t="s">
        <v>140</v>
      </c>
      <c r="E36" s="118" t="s">
        <v>103</v>
      </c>
      <c r="F36" s="118" t="s">
        <v>273</v>
      </c>
      <c r="G36" s="128" t="s">
        <v>268</v>
      </c>
      <c r="H36" s="118"/>
      <c r="I36" s="113" t="s">
        <v>41</v>
      </c>
      <c r="J36" s="113"/>
      <c r="K36" s="134">
        <v>3</v>
      </c>
      <c r="L36" s="133">
        <f t="shared" si="0"/>
        <v>-3</v>
      </c>
      <c r="M36" s="136" t="e">
        <f t="shared" si="1"/>
        <v>#DIV/0!</v>
      </c>
      <c r="N36" s="122" t="s">
        <v>126</v>
      </c>
      <c r="O36" s="124" t="s">
        <v>274</v>
      </c>
      <c r="P36" s="202" t="s">
        <v>275</v>
      </c>
      <c r="Q36" s="203"/>
      <c r="R36" s="203"/>
      <c r="S36" s="203"/>
      <c r="T36" s="203"/>
      <c r="U36" s="203"/>
      <c r="V36" s="207">
        <v>0</v>
      </c>
      <c r="W36" s="207">
        <v>0</v>
      </c>
      <c r="X36" s="207">
        <v>0</v>
      </c>
      <c r="Y36" s="202">
        <v>0</v>
      </c>
      <c r="Z36" s="207">
        <v>7</v>
      </c>
      <c r="AA36" s="132">
        <f ca="1">TODAY() - DATE(2025,8,4)</f>
        <v>134</v>
      </c>
      <c r="AB36" s="202">
        <v>0</v>
      </c>
      <c r="AC36" s="143"/>
      <c r="AD36" s="131">
        <v>67.209999999999994</v>
      </c>
      <c r="AE36" s="146">
        <v>0</v>
      </c>
      <c r="AF36" s="144">
        <v>0</v>
      </c>
      <c r="AG36" s="230" t="s">
        <v>276</v>
      </c>
      <c r="AH36" s="230"/>
      <c r="AI36" s="231"/>
    </row>
    <row r="37" spans="1:35" ht="72.75" customHeight="1">
      <c r="A37" s="174">
        <v>33</v>
      </c>
      <c r="B37" s="116">
        <v>5900764</v>
      </c>
      <c r="C37" s="117" t="s">
        <v>277</v>
      </c>
      <c r="D37" s="118" t="s">
        <v>278</v>
      </c>
      <c r="E37" s="118" t="s">
        <v>103</v>
      </c>
      <c r="F37" s="118" t="s">
        <v>279</v>
      </c>
      <c r="G37" s="118" t="s">
        <v>280</v>
      </c>
      <c r="H37" s="118"/>
      <c r="I37" s="113" t="s">
        <v>41</v>
      </c>
      <c r="J37" s="134">
        <v>110</v>
      </c>
      <c r="K37" s="134">
        <v>42</v>
      </c>
      <c r="L37" s="133">
        <f t="shared" si="0"/>
        <v>68</v>
      </c>
      <c r="M37" s="136">
        <f t="shared" si="1"/>
        <v>0.38181818181818183</v>
      </c>
      <c r="N37" s="122" t="s">
        <v>126</v>
      </c>
      <c r="O37" s="124" t="s">
        <v>281</v>
      </c>
      <c r="P37" s="141" t="s">
        <v>282</v>
      </c>
      <c r="Q37" s="206">
        <v>11.202500000000001</v>
      </c>
      <c r="R37" s="141">
        <v>3.2025999999999999</v>
      </c>
      <c r="S37" s="203"/>
      <c r="T37" s="203"/>
      <c r="U37" s="203"/>
      <c r="V37" s="132">
        <f ca="1">TODAY() - DATE(2025,9,25)</f>
        <v>82</v>
      </c>
      <c r="W37" s="125"/>
      <c r="X37" s="125"/>
      <c r="Y37" s="127"/>
      <c r="Z37" s="125"/>
      <c r="AA37" s="125"/>
      <c r="AB37" s="127"/>
      <c r="AC37" s="143"/>
      <c r="AD37" s="131">
        <v>23.92</v>
      </c>
      <c r="AE37" s="146">
        <v>0</v>
      </c>
      <c r="AF37" s="144">
        <v>0</v>
      </c>
      <c r="AG37" s="230"/>
      <c r="AH37" s="230"/>
      <c r="AI37" s="231"/>
    </row>
    <row r="38" spans="1:35" ht="72.75" customHeight="1">
      <c r="A38" s="174">
        <v>34</v>
      </c>
      <c r="B38" s="116">
        <v>5901079</v>
      </c>
      <c r="C38" s="117" t="s">
        <v>283</v>
      </c>
      <c r="D38" s="118" t="s">
        <v>102</v>
      </c>
      <c r="E38" s="118" t="s">
        <v>284</v>
      </c>
      <c r="F38" s="118" t="s">
        <v>285</v>
      </c>
      <c r="G38" s="118" t="s">
        <v>286</v>
      </c>
      <c r="H38" s="118"/>
      <c r="I38" s="113" t="s">
        <v>80</v>
      </c>
      <c r="J38" s="113"/>
      <c r="K38" s="113"/>
      <c r="L38" s="133">
        <f t="shared" si="0"/>
        <v>0</v>
      </c>
      <c r="M38" s="136" t="e">
        <f t="shared" si="1"/>
        <v>#DIV/0!</v>
      </c>
      <c r="N38" s="122" t="s">
        <v>287</v>
      </c>
      <c r="O38" s="124" t="s">
        <v>274</v>
      </c>
      <c r="P38" s="202"/>
      <c r="Q38" s="203"/>
      <c r="R38" s="203"/>
      <c r="S38" s="203"/>
      <c r="T38" s="203"/>
      <c r="U38" s="203"/>
      <c r="V38" s="125"/>
      <c r="W38" s="125"/>
      <c r="X38" s="125"/>
      <c r="Y38" s="127"/>
      <c r="Z38" s="125"/>
      <c r="AA38" s="125"/>
      <c r="AB38" s="127"/>
      <c r="AC38" s="143"/>
      <c r="AD38" s="131">
        <v>26.6</v>
      </c>
      <c r="AE38" s="146">
        <v>0</v>
      </c>
      <c r="AF38" s="144">
        <v>0</v>
      </c>
      <c r="AG38" s="230"/>
      <c r="AH38" s="230"/>
      <c r="AI38" s="231"/>
    </row>
    <row r="39" spans="1:35" ht="72.75" customHeight="1">
      <c r="A39" s="174">
        <v>35</v>
      </c>
      <c r="B39" s="119">
        <v>5901110</v>
      </c>
      <c r="C39" s="120" t="s">
        <v>288</v>
      </c>
      <c r="D39" s="121" t="s">
        <v>122</v>
      </c>
      <c r="E39" s="121" t="s">
        <v>103</v>
      </c>
      <c r="F39" s="121" t="s">
        <v>264</v>
      </c>
      <c r="G39" s="150" t="s">
        <v>289</v>
      </c>
      <c r="H39" s="121"/>
      <c r="I39" s="115" t="s">
        <v>41</v>
      </c>
      <c r="J39" s="115"/>
      <c r="K39" s="115"/>
      <c r="L39" s="151">
        <f t="shared" si="0"/>
        <v>0</v>
      </c>
      <c r="M39" s="152" t="e">
        <f t="shared" si="1"/>
        <v>#DIV/0!</v>
      </c>
      <c r="N39" s="153" t="s">
        <v>186</v>
      </c>
      <c r="O39" s="154"/>
      <c r="P39" s="204"/>
      <c r="Q39" s="205"/>
      <c r="R39" s="205"/>
      <c r="S39" s="205"/>
      <c r="T39" s="205"/>
      <c r="U39" s="205"/>
      <c r="V39" s="156"/>
      <c r="W39" s="156"/>
      <c r="X39" s="156"/>
      <c r="Y39" s="155"/>
      <c r="Z39" s="156"/>
      <c r="AA39" s="156"/>
      <c r="AB39" s="155"/>
      <c r="AC39" s="157"/>
      <c r="AD39" s="158">
        <v>96.97</v>
      </c>
      <c r="AE39" s="159">
        <v>0</v>
      </c>
      <c r="AF39" s="160">
        <v>0</v>
      </c>
      <c r="AG39" s="225" t="s">
        <v>290</v>
      </c>
      <c r="AH39" s="208"/>
      <c r="AI39" s="213"/>
    </row>
    <row r="40" spans="1:35" ht="123" customHeight="1">
      <c r="A40" s="177">
        <v>36</v>
      </c>
      <c r="B40" s="178">
        <v>5901056</v>
      </c>
      <c r="C40" s="179" t="s">
        <v>291</v>
      </c>
      <c r="D40" s="180" t="s">
        <v>122</v>
      </c>
      <c r="E40" s="181" t="s">
        <v>38</v>
      </c>
      <c r="F40" s="181" t="s">
        <v>193</v>
      </c>
      <c r="G40" s="181" t="s">
        <v>292</v>
      </c>
      <c r="H40" s="181"/>
      <c r="I40" s="182" t="s">
        <v>41</v>
      </c>
      <c r="J40" s="183"/>
      <c r="K40" s="184"/>
      <c r="L40" s="185">
        <f t="shared" si="0"/>
        <v>0</v>
      </c>
      <c r="M40" s="186" t="e">
        <f t="shared" si="1"/>
        <v>#DIV/0!</v>
      </c>
      <c r="N40" s="187" t="s">
        <v>66</v>
      </c>
      <c r="O40" s="188" t="s">
        <v>226</v>
      </c>
      <c r="P40" s="189" t="s">
        <v>221</v>
      </c>
      <c r="Q40" s="189" t="s">
        <v>293</v>
      </c>
      <c r="R40" s="190" t="s">
        <v>294</v>
      </c>
      <c r="S40" s="191"/>
      <c r="T40" s="192"/>
      <c r="U40" s="192"/>
      <c r="V40" s="132">
        <f ca="1">TODAY() - DATE(2025,6,24)</f>
        <v>175</v>
      </c>
      <c r="W40" s="193"/>
      <c r="X40" s="193"/>
      <c r="Y40" s="192"/>
      <c r="Z40" s="194"/>
      <c r="AA40" s="193"/>
      <c r="AB40" s="192"/>
      <c r="AC40" s="195"/>
      <c r="AD40" s="158">
        <v>13.94</v>
      </c>
      <c r="AE40" s="196">
        <v>2.67</v>
      </c>
      <c r="AF40" s="197">
        <v>9300</v>
      </c>
      <c r="AG40" s="243"/>
      <c r="AH40" s="243"/>
      <c r="AI40" s="244"/>
    </row>
    <row r="41" spans="1:35" ht="87" customHeight="1">
      <c r="A41" s="4">
        <v>37</v>
      </c>
      <c r="B41" s="116">
        <v>5901142</v>
      </c>
      <c r="C41" s="117" t="s">
        <v>295</v>
      </c>
      <c r="D41" s="118" t="s">
        <v>122</v>
      </c>
      <c r="E41" s="118" t="s">
        <v>103</v>
      </c>
      <c r="F41" s="118" t="s">
        <v>296</v>
      </c>
      <c r="G41" s="118" t="s">
        <v>297</v>
      </c>
      <c r="H41" s="118"/>
      <c r="I41" s="113" t="s">
        <v>80</v>
      </c>
      <c r="J41" s="113"/>
      <c r="K41" s="113"/>
      <c r="L41" s="134">
        <f t="shared" si="0"/>
        <v>0</v>
      </c>
      <c r="M41" s="198" t="e">
        <f t="shared" si="1"/>
        <v>#DIV/0!</v>
      </c>
      <c r="N41" s="122" t="s">
        <v>298</v>
      </c>
      <c r="O41" s="123" t="s">
        <v>263</v>
      </c>
      <c r="P41" s="114" t="s">
        <v>106</v>
      </c>
      <c r="Q41" s="114" t="s">
        <v>299</v>
      </c>
      <c r="R41" s="114" t="s">
        <v>300</v>
      </c>
      <c r="S41" s="126"/>
      <c r="T41" s="126"/>
      <c r="U41" s="126"/>
      <c r="V41" s="132">
        <f ca="1">TODAY() - DATE(2025,10,25)</f>
        <v>52</v>
      </c>
      <c r="W41" s="199"/>
      <c r="X41" s="199"/>
      <c r="Y41" s="126"/>
      <c r="Z41" s="199"/>
      <c r="AA41" s="199"/>
      <c r="AB41" s="126"/>
      <c r="AC41" s="200"/>
      <c r="AD41" s="131">
        <v>4.4800000000000004</v>
      </c>
      <c r="AE41" s="132">
        <v>0</v>
      </c>
      <c r="AF41" s="201">
        <v>600</v>
      </c>
      <c r="AG41" s="208"/>
      <c r="AH41" s="208"/>
      <c r="AI41" s="208"/>
    </row>
    <row r="42" spans="1:35" ht="87" customHeight="1">
      <c r="A42" s="4">
        <v>38</v>
      </c>
      <c r="B42" s="116">
        <v>5901112</v>
      </c>
      <c r="C42" s="117" t="s">
        <v>301</v>
      </c>
      <c r="D42" s="118" t="s">
        <v>122</v>
      </c>
      <c r="E42" s="118"/>
      <c r="F42" s="118"/>
      <c r="G42" s="118"/>
      <c r="H42" s="118"/>
      <c r="I42" s="113"/>
      <c r="J42" s="113"/>
      <c r="K42" s="113"/>
      <c r="L42" s="134"/>
      <c r="M42" s="198"/>
      <c r="N42" s="122"/>
      <c r="O42" s="123"/>
      <c r="P42" s="114"/>
      <c r="Q42" s="114"/>
      <c r="R42" s="114"/>
      <c r="S42" s="126"/>
      <c r="T42" s="126"/>
      <c r="U42" s="126"/>
      <c r="V42" s="199"/>
      <c r="W42" s="199"/>
      <c r="X42" s="199"/>
      <c r="Y42" s="126"/>
      <c r="Z42" s="199"/>
      <c r="AA42" s="199"/>
      <c r="AB42" s="126"/>
      <c r="AC42" s="200"/>
      <c r="AD42" s="200"/>
      <c r="AE42" s="132">
        <v>0</v>
      </c>
      <c r="AF42" s="201">
        <v>0</v>
      </c>
      <c r="AG42" s="208" t="s">
        <v>302</v>
      </c>
      <c r="AH42" s="208"/>
      <c r="AI42" s="208"/>
    </row>
    <row r="43" spans="1:35" ht="87" customHeight="1">
      <c r="A43" s="4">
        <v>39</v>
      </c>
      <c r="B43" s="116">
        <v>5901178</v>
      </c>
      <c r="C43" s="117" t="s">
        <v>303</v>
      </c>
      <c r="D43" s="118" t="s">
        <v>122</v>
      </c>
      <c r="E43" s="118"/>
      <c r="F43" s="118"/>
      <c r="G43" s="118"/>
      <c r="H43" s="118"/>
      <c r="I43" s="113"/>
      <c r="J43" s="113"/>
      <c r="K43" s="113"/>
      <c r="L43" s="134"/>
      <c r="M43" s="198"/>
      <c r="N43" s="122"/>
      <c r="O43" s="123"/>
      <c r="P43" s="114"/>
      <c r="Q43" s="114"/>
      <c r="R43" s="114"/>
      <c r="S43" s="126"/>
      <c r="T43" s="126"/>
      <c r="U43" s="126"/>
      <c r="V43" s="199"/>
      <c r="W43" s="199"/>
      <c r="X43" s="199"/>
      <c r="Y43" s="126"/>
      <c r="Z43" s="199"/>
      <c r="AA43" s="199"/>
      <c r="AB43" s="126"/>
      <c r="AC43" s="200"/>
      <c r="AD43" s="200"/>
      <c r="AE43" s="132">
        <v>0</v>
      </c>
      <c r="AF43" s="201">
        <v>0</v>
      </c>
      <c r="AG43" s="208" t="s">
        <v>302</v>
      </c>
      <c r="AH43" s="208"/>
      <c r="AI43" s="208"/>
    </row>
    <row r="44" spans="1:35" ht="87" customHeight="1">
      <c r="A44" s="4">
        <v>40</v>
      </c>
      <c r="B44" s="116">
        <v>5901086</v>
      </c>
      <c r="C44" s="117" t="s">
        <v>304</v>
      </c>
      <c r="D44" s="118" t="s">
        <v>122</v>
      </c>
      <c r="E44" s="118" t="s">
        <v>217</v>
      </c>
      <c r="F44" s="118" t="s">
        <v>271</v>
      </c>
      <c r="G44" s="118" t="s">
        <v>305</v>
      </c>
      <c r="H44" s="118"/>
      <c r="I44" s="113"/>
      <c r="J44" s="113"/>
      <c r="K44" s="113"/>
      <c r="L44" s="134"/>
      <c r="M44" s="198"/>
      <c r="N44" s="122"/>
      <c r="O44" s="123"/>
      <c r="P44" s="114"/>
      <c r="Q44" s="114"/>
      <c r="R44" s="114"/>
      <c r="S44" s="126"/>
      <c r="T44" s="126"/>
      <c r="U44" s="126"/>
      <c r="V44" s="199"/>
      <c r="W44" s="199"/>
      <c r="X44" s="199"/>
      <c r="Y44" s="126"/>
      <c r="Z44" s="199"/>
      <c r="AA44" s="199"/>
      <c r="AB44" s="126"/>
      <c r="AC44" s="200"/>
      <c r="AD44" s="200"/>
      <c r="AE44" s="132">
        <v>0</v>
      </c>
      <c r="AF44" s="201"/>
      <c r="AG44" s="208"/>
      <c r="AH44" s="208"/>
      <c r="AI44" s="208"/>
    </row>
    <row r="45" spans="1:35" ht="87" customHeight="1">
      <c r="A45" s="4">
        <v>41</v>
      </c>
      <c r="B45" s="116"/>
      <c r="C45" s="117" t="s">
        <v>306</v>
      </c>
      <c r="D45" s="118" t="s">
        <v>140</v>
      </c>
      <c r="E45" s="118"/>
      <c r="F45" s="118"/>
      <c r="G45" s="118"/>
      <c r="H45" s="118"/>
      <c r="I45" s="113"/>
      <c r="J45" s="113"/>
      <c r="K45" s="113"/>
      <c r="L45" s="134"/>
      <c r="M45" s="198"/>
      <c r="N45" s="122"/>
      <c r="O45" s="123"/>
      <c r="P45" s="114"/>
      <c r="Q45" s="114"/>
      <c r="R45" s="114"/>
      <c r="S45" s="126"/>
      <c r="T45" s="126"/>
      <c r="U45" s="126"/>
      <c r="V45" s="199"/>
      <c r="W45" s="199"/>
      <c r="X45" s="199"/>
      <c r="Y45" s="126"/>
      <c r="Z45" s="199"/>
      <c r="AA45" s="199"/>
      <c r="AB45" s="126"/>
      <c r="AC45" s="200"/>
      <c r="AD45" s="200"/>
      <c r="AE45" s="132">
        <v>0</v>
      </c>
      <c r="AF45" s="201"/>
      <c r="AG45" s="208"/>
      <c r="AH45" s="208"/>
      <c r="AI45" s="208"/>
    </row>
    <row r="46" spans="1:35" ht="87" customHeight="1">
      <c r="A46" s="4">
        <v>42</v>
      </c>
      <c r="B46" s="116">
        <v>5901183</v>
      </c>
      <c r="C46" s="117" t="s">
        <v>307</v>
      </c>
      <c r="D46" s="118" t="s">
        <v>308</v>
      </c>
      <c r="E46" s="118" t="s">
        <v>103</v>
      </c>
      <c r="F46" s="118" t="s">
        <v>282</v>
      </c>
      <c r="G46" s="128" t="s">
        <v>309</v>
      </c>
      <c r="H46" s="118"/>
      <c r="I46" s="182" t="s">
        <v>41</v>
      </c>
      <c r="J46" s="113"/>
      <c r="K46" s="113"/>
      <c r="L46" s="134"/>
      <c r="M46" s="198"/>
      <c r="N46" s="122"/>
      <c r="O46" s="123"/>
      <c r="P46" s="114"/>
      <c r="Q46" s="114"/>
      <c r="R46" s="114"/>
      <c r="S46" s="126"/>
      <c r="T46" s="126"/>
      <c r="U46" s="126"/>
      <c r="V46" s="199"/>
      <c r="W46" s="199"/>
      <c r="X46" s="199"/>
      <c r="Y46" s="126"/>
      <c r="Z46" s="199"/>
      <c r="AA46" s="199"/>
      <c r="AB46" s="126"/>
      <c r="AC46" s="200"/>
      <c r="AD46" s="200"/>
      <c r="AE46" s="132">
        <v>0</v>
      </c>
      <c r="AF46" s="201"/>
      <c r="AG46" s="208"/>
      <c r="AH46" s="208"/>
      <c r="AI46" s="208"/>
    </row>
    <row r="47" spans="1:35" ht="87" customHeight="1">
      <c r="A47" s="4">
        <v>43</v>
      </c>
      <c r="B47" s="116">
        <v>5901155</v>
      </c>
      <c r="C47" s="117" t="s">
        <v>310</v>
      </c>
      <c r="D47" s="118" t="s">
        <v>37</v>
      </c>
      <c r="E47" s="118" t="s">
        <v>284</v>
      </c>
      <c r="F47" s="118" t="s">
        <v>311</v>
      </c>
      <c r="G47" s="128" t="s">
        <v>312</v>
      </c>
      <c r="H47" s="118"/>
      <c r="I47" s="182" t="s">
        <v>41</v>
      </c>
      <c r="J47" s="113"/>
      <c r="K47" s="113"/>
      <c r="L47" s="134"/>
      <c r="M47" s="198"/>
      <c r="N47" s="122"/>
      <c r="O47" s="123"/>
      <c r="P47" s="114"/>
      <c r="Q47" s="114"/>
      <c r="R47" s="114"/>
      <c r="S47" s="126"/>
      <c r="T47" s="126"/>
      <c r="U47" s="126"/>
      <c r="V47" s="199"/>
      <c r="W47" s="199"/>
      <c r="X47" s="199"/>
      <c r="Y47" s="126"/>
      <c r="Z47" s="199"/>
      <c r="AA47" s="199"/>
      <c r="AB47" s="126"/>
      <c r="AC47" s="200"/>
      <c r="AD47" s="200"/>
      <c r="AE47" s="132">
        <v>0</v>
      </c>
      <c r="AF47" s="201"/>
      <c r="AG47" s="208"/>
      <c r="AH47" s="208"/>
      <c r="AI47" s="208"/>
    </row>
    <row r="48" spans="1:35" ht="87" customHeight="1">
      <c r="A48" s="4">
        <v>44</v>
      </c>
      <c r="B48" s="116">
        <v>5901202</v>
      </c>
      <c r="C48" s="117" t="s">
        <v>313</v>
      </c>
      <c r="D48" s="118" t="s">
        <v>37</v>
      </c>
      <c r="E48" s="118" t="s">
        <v>49</v>
      </c>
      <c r="F48" s="118" t="s">
        <v>314</v>
      </c>
      <c r="G48" s="128" t="s">
        <v>315</v>
      </c>
      <c r="H48" s="118"/>
      <c r="I48" s="182" t="s">
        <v>41</v>
      </c>
      <c r="J48" s="113"/>
      <c r="K48" s="113"/>
      <c r="L48" s="134"/>
      <c r="M48" s="198"/>
      <c r="N48" s="122"/>
      <c r="O48" s="123"/>
      <c r="P48" s="114"/>
      <c r="Q48" s="114"/>
      <c r="R48" s="114"/>
      <c r="S48" s="126"/>
      <c r="T48" s="126"/>
      <c r="U48" s="126"/>
      <c r="V48" s="199"/>
      <c r="W48" s="199"/>
      <c r="X48" s="199"/>
      <c r="Y48" s="126"/>
      <c r="Z48" s="199"/>
      <c r="AA48" s="199"/>
      <c r="AB48" s="126"/>
      <c r="AC48" s="200"/>
      <c r="AD48" s="200"/>
      <c r="AE48" s="132"/>
      <c r="AF48" s="201"/>
      <c r="AG48" s="208"/>
      <c r="AH48" s="208"/>
      <c r="AI48" s="208"/>
    </row>
    <row r="49" spans="1:35" ht="87" customHeight="1">
      <c r="A49" s="4">
        <v>45</v>
      </c>
      <c r="B49" s="116">
        <v>5901203</v>
      </c>
      <c r="C49" s="117" t="s">
        <v>316</v>
      </c>
      <c r="D49" s="118"/>
      <c r="E49" s="118"/>
      <c r="F49" s="118"/>
      <c r="G49" s="118"/>
      <c r="H49" s="118"/>
      <c r="I49" s="182"/>
      <c r="J49" s="113"/>
      <c r="K49" s="113"/>
      <c r="L49" s="134"/>
      <c r="M49" s="198"/>
      <c r="N49" s="122"/>
      <c r="O49" s="123"/>
      <c r="P49" s="114"/>
      <c r="Q49" s="114"/>
      <c r="R49" s="114"/>
      <c r="S49" s="126"/>
      <c r="T49" s="126"/>
      <c r="U49" s="126"/>
      <c r="V49" s="199"/>
      <c r="W49" s="199"/>
      <c r="X49" s="199"/>
      <c r="Y49" s="126"/>
      <c r="Z49" s="199"/>
      <c r="AA49" s="199"/>
      <c r="AB49" s="126"/>
      <c r="AC49" s="200"/>
      <c r="AD49" s="200"/>
      <c r="AE49" s="132"/>
      <c r="AF49" s="201"/>
      <c r="AG49" s="208"/>
      <c r="AH49" s="208"/>
      <c r="AI49" s="208"/>
    </row>
    <row r="50" spans="1:35" ht="87" customHeight="1">
      <c r="A50" s="4">
        <v>46</v>
      </c>
      <c r="B50" s="116">
        <v>5901199</v>
      </c>
      <c r="C50" s="117" t="s">
        <v>317</v>
      </c>
      <c r="D50" s="118"/>
      <c r="E50" s="118"/>
      <c r="F50" s="118"/>
      <c r="G50" s="118"/>
      <c r="H50" s="118"/>
      <c r="I50" s="182"/>
      <c r="J50" s="113"/>
      <c r="K50" s="113"/>
      <c r="L50" s="134"/>
      <c r="M50" s="198"/>
      <c r="N50" s="122"/>
      <c r="O50" s="123"/>
      <c r="P50" s="114"/>
      <c r="Q50" s="114"/>
      <c r="R50" s="114"/>
      <c r="S50" s="126"/>
      <c r="T50" s="126"/>
      <c r="U50" s="126"/>
      <c r="V50" s="199"/>
      <c r="W50" s="199"/>
      <c r="X50" s="199"/>
      <c r="Y50" s="126"/>
      <c r="Z50" s="199"/>
      <c r="AA50" s="199"/>
      <c r="AB50" s="126"/>
      <c r="AC50" s="200"/>
      <c r="AD50" s="200"/>
      <c r="AE50" s="132"/>
      <c r="AF50" s="201"/>
      <c r="AG50" s="208"/>
      <c r="AH50" s="208"/>
      <c r="AI50" s="208"/>
    </row>
    <row r="51" spans="1:35" ht="87" customHeight="1">
      <c r="A51" s="4">
        <v>47</v>
      </c>
      <c r="B51" s="116">
        <v>5901187</v>
      </c>
      <c r="C51" s="117" t="s">
        <v>318</v>
      </c>
      <c r="D51" s="118" t="s">
        <v>319</v>
      </c>
      <c r="E51" s="118" t="s">
        <v>103</v>
      </c>
      <c r="F51" s="118"/>
      <c r="G51" s="118"/>
      <c r="H51" s="118"/>
      <c r="I51" s="182" t="s">
        <v>41</v>
      </c>
      <c r="J51" s="113"/>
      <c r="K51" s="113"/>
      <c r="L51" s="134"/>
      <c r="M51" s="198"/>
      <c r="N51" s="122"/>
      <c r="O51" s="123"/>
      <c r="P51" s="114"/>
      <c r="Q51" s="114"/>
      <c r="R51" s="114"/>
      <c r="S51" s="126"/>
      <c r="T51" s="126"/>
      <c r="U51" s="126"/>
      <c r="V51" s="199"/>
      <c r="W51" s="199"/>
      <c r="X51" s="199"/>
      <c r="Y51" s="126"/>
      <c r="Z51" s="199"/>
      <c r="AA51" s="199"/>
      <c r="AB51" s="126"/>
      <c r="AC51" s="200"/>
      <c r="AD51" s="200"/>
      <c r="AE51" s="132"/>
      <c r="AF51" s="201"/>
      <c r="AG51" s="208"/>
      <c r="AH51" s="208"/>
      <c r="AI51" s="208"/>
    </row>
    <row r="52" spans="1:35" ht="87" customHeight="1">
      <c r="A52" s="4">
        <v>48</v>
      </c>
      <c r="B52" s="116">
        <v>5901186</v>
      </c>
      <c r="C52" s="117" t="s">
        <v>320</v>
      </c>
      <c r="D52" s="118" t="s">
        <v>37</v>
      </c>
      <c r="E52" s="118" t="s">
        <v>103</v>
      </c>
      <c r="F52" s="118"/>
      <c r="G52" s="118"/>
      <c r="H52" s="118"/>
      <c r="I52" s="182" t="s">
        <v>41</v>
      </c>
      <c r="J52" s="113"/>
      <c r="K52" s="113"/>
      <c r="L52" s="134"/>
      <c r="M52" s="198"/>
      <c r="N52" s="122"/>
      <c r="O52" s="123"/>
      <c r="P52" s="114"/>
      <c r="Q52" s="114"/>
      <c r="R52" s="114"/>
      <c r="S52" s="126"/>
      <c r="T52" s="126"/>
      <c r="U52" s="126"/>
      <c r="V52" s="199"/>
      <c r="W52" s="199"/>
      <c r="X52" s="199"/>
      <c r="Y52" s="126"/>
      <c r="Z52" s="199"/>
      <c r="AA52" s="199"/>
      <c r="AB52" s="126"/>
      <c r="AC52" s="200"/>
      <c r="AD52" s="200"/>
      <c r="AE52" s="132"/>
      <c r="AF52" s="201"/>
      <c r="AG52" s="208"/>
      <c r="AH52" s="208"/>
      <c r="AI52" s="208"/>
    </row>
    <row r="55" spans="1:35"/>
    <row r="56" spans="1:35"/>
  </sheetData>
  <autoFilter ref="A3:AI52" xr:uid="{56AB5A8C-234D-446A-89FF-D19F125FC663}">
    <filterColumn colId="32" showButton="0"/>
    <filterColumn colId="33" showButton="0"/>
  </autoFilter>
  <mergeCells count="85">
    <mergeCell ref="AG13:AI13"/>
    <mergeCell ref="AG41:AI41"/>
    <mergeCell ref="AG3:AI4"/>
    <mergeCell ref="AG17:AI17"/>
    <mergeCell ref="AG26:AI26"/>
    <mergeCell ref="AG14:AI14"/>
    <mergeCell ref="AG12:AI12"/>
    <mergeCell ref="AG9:AI9"/>
    <mergeCell ref="AG8:AI8"/>
    <mergeCell ref="AG6:AI6"/>
    <mergeCell ref="AG5:AI5"/>
    <mergeCell ref="AG7:AI7"/>
    <mergeCell ref="AG10:AI10"/>
    <mergeCell ref="AG35:AI35"/>
    <mergeCell ref="AG40:AI40"/>
    <mergeCell ref="AG32:AI32"/>
    <mergeCell ref="AG46:AI46"/>
    <mergeCell ref="AG45:AI45"/>
    <mergeCell ref="AG42:AI42"/>
    <mergeCell ref="AG43:AI43"/>
    <mergeCell ref="AG44:AI44"/>
    <mergeCell ref="I1:AI1"/>
    <mergeCell ref="I2:AI2"/>
    <mergeCell ref="I3:I4"/>
    <mergeCell ref="J3:J4"/>
    <mergeCell ref="K3:K4"/>
    <mergeCell ref="L3:L4"/>
    <mergeCell ref="M3:M4"/>
    <mergeCell ref="N3:N4"/>
    <mergeCell ref="O3:O4"/>
    <mergeCell ref="P3:P4"/>
    <mergeCell ref="R3:R4"/>
    <mergeCell ref="U3:U4"/>
    <mergeCell ref="V3:V4"/>
    <mergeCell ref="AE3:AE4"/>
    <mergeCell ref="X3:X4"/>
    <mergeCell ref="AD3:AD4"/>
    <mergeCell ref="AG33:AI33"/>
    <mergeCell ref="AG34:AI34"/>
    <mergeCell ref="AG36:AI36"/>
    <mergeCell ref="AG37:AI37"/>
    <mergeCell ref="AG38:AI38"/>
    <mergeCell ref="AG39:AI39"/>
    <mergeCell ref="AG27:AI27"/>
    <mergeCell ref="AG31:AI31"/>
    <mergeCell ref="AG15:AI15"/>
    <mergeCell ref="AG18:AI18"/>
    <mergeCell ref="AG19:AI19"/>
    <mergeCell ref="AG16:AI16"/>
    <mergeCell ref="AG25:AI25"/>
    <mergeCell ref="AG28:AI28"/>
    <mergeCell ref="AG29:AI29"/>
    <mergeCell ref="AG30:AI30"/>
    <mergeCell ref="AG24:AI24"/>
    <mergeCell ref="AG23:AI23"/>
    <mergeCell ref="AG21:AI21"/>
    <mergeCell ref="AG22:AI22"/>
    <mergeCell ref="AG20:AI20"/>
    <mergeCell ref="AG11:AI11"/>
    <mergeCell ref="A1:H1"/>
    <mergeCell ref="A2:H2"/>
    <mergeCell ref="F3:F4"/>
    <mergeCell ref="G3:G4"/>
    <mergeCell ref="E3:E4"/>
    <mergeCell ref="A3:A4"/>
    <mergeCell ref="B3:B4"/>
    <mergeCell ref="C3:C4"/>
    <mergeCell ref="D3:D4"/>
    <mergeCell ref="H3:H4"/>
    <mergeCell ref="AF3:AF4"/>
    <mergeCell ref="Q3:Q4"/>
    <mergeCell ref="S3:S4"/>
    <mergeCell ref="T3:T4"/>
    <mergeCell ref="AC3:AC4"/>
    <mergeCell ref="Y3:Y4"/>
    <mergeCell ref="W3:W4"/>
    <mergeCell ref="Z3:Z4"/>
    <mergeCell ref="AA3:AA4"/>
    <mergeCell ref="AB3:AB4"/>
    <mergeCell ref="AG49:AI49"/>
    <mergeCell ref="AG50:AI50"/>
    <mergeCell ref="AG51:AI51"/>
    <mergeCell ref="AG52:AI52"/>
    <mergeCell ref="AG47:AI47"/>
    <mergeCell ref="AG48:AI48"/>
  </mergeCells>
  <phoneticPr fontId="6" type="noConversion"/>
  <conditionalFormatting sqref="V5:V52">
    <cfRule type="cellIs" dxfId="2" priority="4" operator="greaterThan">
      <formula>1</formula>
    </cfRule>
  </conditionalFormatting>
  <conditionalFormatting sqref="V40:V41">
    <cfRule type="cellIs" dxfId="1" priority="5" operator="greaterThan">
      <formula>60</formula>
    </cfRule>
  </conditionalFormatting>
  <conditionalFormatting sqref="X5:X52 AA5:AA52 V37">
    <cfRule type="cellIs" dxfId="0" priority="3" operator="greaterThan">
      <formula>60</formula>
    </cfRule>
  </conditionalFormatting>
  <pageMargins left="0.7" right="0.7" top="0.75" bottom="0.75" header="0.3" footer="0.3"/>
  <pageSetup paperSize="8" scale="45"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D3AD6-6A7F-4424-9194-849ED94B2EA3}">
  <sheetPr codeName="Sheet2" filterMode="1"/>
  <dimension ref="A1:F66"/>
  <sheetViews>
    <sheetView topLeftCell="A34" workbookViewId="0">
      <pane xSplit="6" topLeftCell="G1" activePane="topRight" state="frozen"/>
      <selection pane="topRight" activeCell="C68" sqref="C68"/>
    </sheetView>
  </sheetViews>
  <sheetFormatPr defaultRowHeight="15"/>
  <cols>
    <col min="1" max="1" width="11.42578125" customWidth="1"/>
    <col min="2" max="2" width="26.28515625" customWidth="1"/>
    <col min="3" max="3" width="35.5703125" customWidth="1"/>
    <col min="4" max="4" width="36.5703125" style="85" bestFit="1" customWidth="1"/>
    <col min="5" max="5" width="20.85546875" customWidth="1"/>
    <col min="6" max="6" width="11.7109375" style="80" customWidth="1"/>
  </cols>
  <sheetData>
    <row r="1" spans="1:6">
      <c r="A1" s="220" t="s">
        <v>3</v>
      </c>
      <c r="B1" s="248" t="s">
        <v>321</v>
      </c>
      <c r="C1" s="248" t="s">
        <v>322</v>
      </c>
      <c r="D1" s="248" t="s">
        <v>323</v>
      </c>
      <c r="E1" s="248" t="s">
        <v>7</v>
      </c>
      <c r="F1" s="245" t="s">
        <v>324</v>
      </c>
    </row>
    <row r="2" spans="1:6" ht="15.75" thickBot="1">
      <c r="A2" s="247"/>
      <c r="B2" s="249"/>
      <c r="C2" s="250"/>
      <c r="D2" s="250"/>
      <c r="E2" s="249"/>
      <c r="F2" s="246"/>
    </row>
    <row r="3" spans="1:6" s="74" customFormat="1" ht="39.950000000000003" hidden="1" customHeight="1">
      <c r="A3" s="70">
        <v>1</v>
      </c>
      <c r="B3" s="14">
        <v>5900604</v>
      </c>
      <c r="C3" s="71" t="s">
        <v>325</v>
      </c>
      <c r="D3" s="72" t="s">
        <v>326</v>
      </c>
      <c r="E3" s="73" t="s">
        <v>327</v>
      </c>
      <c r="F3" s="75" t="s">
        <v>328</v>
      </c>
    </row>
    <row r="4" spans="1:6" ht="57" hidden="1">
      <c r="A4" s="4">
        <v>2</v>
      </c>
      <c r="B4" s="1">
        <v>5900666</v>
      </c>
      <c r="C4" s="81" t="s">
        <v>329</v>
      </c>
      <c r="D4" s="82" t="s">
        <v>330</v>
      </c>
      <c r="E4" s="83" t="s">
        <v>331</v>
      </c>
      <c r="F4" s="76" t="s">
        <v>328</v>
      </c>
    </row>
    <row r="5" spans="1:6" ht="39.950000000000003" hidden="1" customHeight="1">
      <c r="A5" s="4">
        <v>3</v>
      </c>
      <c r="B5" s="1">
        <v>5900434</v>
      </c>
      <c r="C5" s="81" t="s">
        <v>332</v>
      </c>
      <c r="D5" s="82" t="s">
        <v>333</v>
      </c>
      <c r="E5" s="83" t="s">
        <v>334</v>
      </c>
      <c r="F5" s="76" t="s">
        <v>328</v>
      </c>
    </row>
    <row r="6" spans="1:6" ht="39.950000000000003" hidden="1" customHeight="1">
      <c r="A6" s="4">
        <v>4</v>
      </c>
      <c r="B6" s="1">
        <v>5900712</v>
      </c>
      <c r="C6" s="81" t="s">
        <v>335</v>
      </c>
      <c r="D6" s="82" t="s">
        <v>336</v>
      </c>
      <c r="E6" s="83" t="s">
        <v>327</v>
      </c>
      <c r="F6" s="76" t="s">
        <v>328</v>
      </c>
    </row>
    <row r="7" spans="1:6" ht="39.950000000000003" hidden="1" customHeight="1">
      <c r="A7" s="4">
        <v>5</v>
      </c>
      <c r="B7" s="1">
        <v>5900570</v>
      </c>
      <c r="C7" s="81" t="s">
        <v>337</v>
      </c>
      <c r="D7" s="82" t="s">
        <v>333</v>
      </c>
      <c r="E7" s="83" t="s">
        <v>334</v>
      </c>
      <c r="F7" s="76" t="s">
        <v>328</v>
      </c>
    </row>
    <row r="8" spans="1:6" ht="39.950000000000003" hidden="1" customHeight="1">
      <c r="A8" s="4">
        <v>6</v>
      </c>
      <c r="B8" s="1">
        <v>5900596</v>
      </c>
      <c r="C8" s="81" t="s">
        <v>338</v>
      </c>
      <c r="D8" s="82" t="s">
        <v>330</v>
      </c>
      <c r="E8" s="83" t="s">
        <v>38</v>
      </c>
      <c r="F8" s="76" t="s">
        <v>328</v>
      </c>
    </row>
    <row r="9" spans="1:6" ht="39.950000000000003" hidden="1" customHeight="1">
      <c r="A9" s="4">
        <v>7</v>
      </c>
      <c r="B9" s="1">
        <v>5900606</v>
      </c>
      <c r="C9" s="81" t="s">
        <v>339</v>
      </c>
      <c r="D9" s="82"/>
      <c r="E9" s="83" t="s">
        <v>38</v>
      </c>
      <c r="F9" s="76" t="s">
        <v>328</v>
      </c>
    </row>
    <row r="10" spans="1:6" ht="39.950000000000003" hidden="1" customHeight="1">
      <c r="A10" s="4">
        <v>8</v>
      </c>
      <c r="B10" s="1">
        <v>5900688</v>
      </c>
      <c r="C10" s="81" t="s">
        <v>340</v>
      </c>
      <c r="D10" s="82" t="s">
        <v>333</v>
      </c>
      <c r="E10" s="83" t="s">
        <v>38</v>
      </c>
      <c r="F10" s="76" t="s">
        <v>328</v>
      </c>
    </row>
    <row r="11" spans="1:6" ht="42.75" hidden="1">
      <c r="A11" s="70">
        <v>9</v>
      </c>
      <c r="B11" s="1">
        <v>5900647</v>
      </c>
      <c r="C11" s="81" t="s">
        <v>341</v>
      </c>
      <c r="D11" s="84" t="s">
        <v>342</v>
      </c>
      <c r="E11" s="83" t="s">
        <v>38</v>
      </c>
      <c r="F11" s="76" t="s">
        <v>328</v>
      </c>
    </row>
    <row r="12" spans="1:6" ht="39.950000000000003" hidden="1" customHeight="1">
      <c r="A12" s="4">
        <v>10</v>
      </c>
      <c r="B12" s="1">
        <v>5900466</v>
      </c>
      <c r="C12" s="81" t="s">
        <v>343</v>
      </c>
      <c r="D12" s="82"/>
      <c r="E12" s="83" t="s">
        <v>38</v>
      </c>
      <c r="F12" s="76" t="s">
        <v>328</v>
      </c>
    </row>
    <row r="13" spans="1:6" ht="39.950000000000003" hidden="1" customHeight="1">
      <c r="A13" s="4">
        <v>11</v>
      </c>
      <c r="B13" s="1">
        <v>5900616</v>
      </c>
      <c r="C13" s="81" t="s">
        <v>344</v>
      </c>
      <c r="D13" s="82" t="s">
        <v>330</v>
      </c>
      <c r="E13" s="83" t="s">
        <v>38</v>
      </c>
      <c r="F13" s="78" t="s">
        <v>345</v>
      </c>
    </row>
    <row r="14" spans="1:6" ht="39.950000000000003" customHeight="1">
      <c r="A14" s="4">
        <v>12</v>
      </c>
      <c r="B14" s="1">
        <v>5900635</v>
      </c>
      <c r="C14" s="81" t="s">
        <v>346</v>
      </c>
      <c r="D14" s="79" t="s">
        <v>333</v>
      </c>
      <c r="E14" s="83" t="s">
        <v>49</v>
      </c>
      <c r="F14" s="77" t="s">
        <v>347</v>
      </c>
    </row>
    <row r="15" spans="1:6" ht="39.950000000000003" hidden="1" customHeight="1">
      <c r="A15" s="4">
        <v>13</v>
      </c>
      <c r="B15" s="1">
        <v>5900590</v>
      </c>
      <c r="C15" s="81" t="s">
        <v>348</v>
      </c>
      <c r="D15" s="82" t="s">
        <v>333</v>
      </c>
      <c r="E15" s="83" t="s">
        <v>49</v>
      </c>
      <c r="F15" s="76" t="s">
        <v>328</v>
      </c>
    </row>
    <row r="16" spans="1:6" ht="39.950000000000003" hidden="1" customHeight="1">
      <c r="A16" s="4">
        <v>14</v>
      </c>
      <c r="B16" s="1">
        <v>5900485</v>
      </c>
      <c r="C16" s="81" t="s">
        <v>349</v>
      </c>
      <c r="D16" s="82"/>
      <c r="E16" s="83" t="s">
        <v>49</v>
      </c>
      <c r="F16" s="76" t="s">
        <v>328</v>
      </c>
    </row>
    <row r="17" spans="1:6" ht="39.950000000000003" hidden="1" customHeight="1">
      <c r="A17" s="4">
        <v>15</v>
      </c>
      <c r="B17" s="1">
        <v>5900792</v>
      </c>
      <c r="C17" s="81" t="s">
        <v>350</v>
      </c>
      <c r="D17" s="82" t="s">
        <v>333</v>
      </c>
      <c r="E17" s="83" t="s">
        <v>49</v>
      </c>
      <c r="F17" s="78" t="s">
        <v>345</v>
      </c>
    </row>
    <row r="18" spans="1:6" ht="39.950000000000003" hidden="1" customHeight="1">
      <c r="A18" s="4">
        <v>16</v>
      </c>
      <c r="B18" s="1">
        <v>5900643</v>
      </c>
      <c r="C18" s="81" t="s">
        <v>351</v>
      </c>
      <c r="D18" s="82" t="s">
        <v>333</v>
      </c>
      <c r="E18" s="83" t="s">
        <v>352</v>
      </c>
      <c r="F18" s="76" t="s">
        <v>328</v>
      </c>
    </row>
    <row r="19" spans="1:6" ht="39.950000000000003" hidden="1" customHeight="1">
      <c r="A19" s="70">
        <v>17</v>
      </c>
      <c r="B19" s="1">
        <v>5900726</v>
      </c>
      <c r="C19" s="81" t="s">
        <v>353</v>
      </c>
      <c r="D19" s="82" t="s">
        <v>330</v>
      </c>
      <c r="E19" s="83" t="s">
        <v>352</v>
      </c>
      <c r="F19" s="76" t="s">
        <v>328</v>
      </c>
    </row>
    <row r="20" spans="1:6" ht="39.950000000000003" customHeight="1">
      <c r="A20" s="4">
        <v>18</v>
      </c>
      <c r="B20" s="1">
        <v>5900813</v>
      </c>
      <c r="C20" s="81" t="s">
        <v>354</v>
      </c>
      <c r="D20" s="83" t="s">
        <v>342</v>
      </c>
      <c r="E20" s="83" t="s">
        <v>352</v>
      </c>
      <c r="F20" s="77" t="s">
        <v>347</v>
      </c>
    </row>
    <row r="21" spans="1:6" ht="39.950000000000003" hidden="1" customHeight="1">
      <c r="A21" s="4">
        <v>19</v>
      </c>
      <c r="B21" s="1">
        <v>5900808</v>
      </c>
      <c r="C21" s="81" t="s">
        <v>355</v>
      </c>
      <c r="D21" s="83" t="s">
        <v>356</v>
      </c>
      <c r="E21" s="83" t="s">
        <v>352</v>
      </c>
      <c r="F21" s="76" t="s">
        <v>328</v>
      </c>
    </row>
    <row r="22" spans="1:6" ht="57">
      <c r="A22" s="4">
        <v>20</v>
      </c>
      <c r="B22" s="1">
        <v>5900702</v>
      </c>
      <c r="C22" s="81" t="s">
        <v>357</v>
      </c>
      <c r="D22" s="79" t="s">
        <v>326</v>
      </c>
      <c r="E22" s="83" t="s">
        <v>358</v>
      </c>
      <c r="F22" s="77" t="s">
        <v>347</v>
      </c>
    </row>
    <row r="23" spans="1:6" ht="99.75">
      <c r="A23" s="4">
        <v>21</v>
      </c>
      <c r="B23" s="1">
        <v>5900738</v>
      </c>
      <c r="C23" s="81" t="s">
        <v>36</v>
      </c>
      <c r="D23" s="83" t="s">
        <v>342</v>
      </c>
      <c r="E23" s="83" t="s">
        <v>38</v>
      </c>
      <c r="F23" s="77" t="s">
        <v>347</v>
      </c>
    </row>
    <row r="24" spans="1:6" ht="39.950000000000003" customHeight="1">
      <c r="A24" s="4">
        <v>22</v>
      </c>
      <c r="B24" s="1">
        <v>5900767</v>
      </c>
      <c r="C24" s="81" t="s">
        <v>359</v>
      </c>
      <c r="D24" s="79" t="s">
        <v>336</v>
      </c>
      <c r="E24" s="83" t="s">
        <v>352</v>
      </c>
      <c r="F24" s="77" t="s">
        <v>347</v>
      </c>
    </row>
    <row r="25" spans="1:6" ht="39.950000000000003" hidden="1" customHeight="1">
      <c r="A25" s="4">
        <v>23</v>
      </c>
      <c r="B25" s="1">
        <v>5900853</v>
      </c>
      <c r="C25" s="81" t="s">
        <v>360</v>
      </c>
      <c r="D25" s="82" t="s">
        <v>361</v>
      </c>
      <c r="E25" s="83" t="s">
        <v>362</v>
      </c>
      <c r="F25" s="76" t="s">
        <v>328</v>
      </c>
    </row>
    <row r="26" spans="1:6" ht="39.950000000000003" customHeight="1">
      <c r="A26" s="4">
        <v>24</v>
      </c>
      <c r="B26" s="1">
        <v>5900885</v>
      </c>
      <c r="C26" s="81" t="s">
        <v>48</v>
      </c>
      <c r="D26" s="79" t="s">
        <v>361</v>
      </c>
      <c r="E26" s="83" t="s">
        <v>49</v>
      </c>
      <c r="F26" s="77" t="s">
        <v>347</v>
      </c>
    </row>
    <row r="27" spans="1:6" ht="42.75">
      <c r="A27" s="70">
        <v>25</v>
      </c>
      <c r="B27" s="1">
        <v>5900858</v>
      </c>
      <c r="C27" s="81" t="s">
        <v>363</v>
      </c>
      <c r="D27" s="79" t="s">
        <v>330</v>
      </c>
      <c r="E27" s="83" t="s">
        <v>352</v>
      </c>
      <c r="F27" s="77" t="s">
        <v>347</v>
      </c>
    </row>
    <row r="28" spans="1:6" ht="39.950000000000003" customHeight="1">
      <c r="A28" s="4">
        <v>26</v>
      </c>
      <c r="B28" s="1">
        <v>5900859</v>
      </c>
      <c r="C28" s="81" t="s">
        <v>364</v>
      </c>
      <c r="D28" s="79" t="s">
        <v>330</v>
      </c>
      <c r="E28" s="83" t="s">
        <v>352</v>
      </c>
      <c r="F28" s="77" t="s">
        <v>347</v>
      </c>
    </row>
    <row r="29" spans="1:6" ht="39.950000000000003" customHeight="1">
      <c r="A29" s="4">
        <v>27</v>
      </c>
      <c r="B29" s="1">
        <v>5900891</v>
      </c>
      <c r="C29" s="81" t="s">
        <v>61</v>
      </c>
      <c r="D29" s="79" t="s">
        <v>333</v>
      </c>
      <c r="E29" s="83" t="s">
        <v>63</v>
      </c>
      <c r="F29" s="77" t="s">
        <v>347</v>
      </c>
    </row>
    <row r="30" spans="1:6" ht="39.950000000000003" customHeight="1">
      <c r="A30" s="4">
        <v>28</v>
      </c>
      <c r="B30" s="1">
        <v>5900828</v>
      </c>
      <c r="C30" s="81" t="s">
        <v>365</v>
      </c>
      <c r="D30" s="83" t="s">
        <v>342</v>
      </c>
      <c r="E30" s="83" t="s">
        <v>38</v>
      </c>
      <c r="F30" s="77" t="s">
        <v>347</v>
      </c>
    </row>
    <row r="31" spans="1:6" ht="57">
      <c r="A31" s="4">
        <v>29</v>
      </c>
      <c r="B31" s="1">
        <v>5900304</v>
      </c>
      <c r="C31" s="81" t="s">
        <v>366</v>
      </c>
      <c r="D31" s="86" t="s">
        <v>326</v>
      </c>
      <c r="E31" s="83" t="s">
        <v>331</v>
      </c>
      <c r="F31" s="77" t="s">
        <v>347</v>
      </c>
    </row>
    <row r="32" spans="1:6" ht="39.950000000000003" customHeight="1">
      <c r="A32" s="4">
        <v>30</v>
      </c>
      <c r="B32" s="1">
        <v>5900838</v>
      </c>
      <c r="C32" s="81" t="s">
        <v>367</v>
      </c>
      <c r="D32" s="83" t="s">
        <v>342</v>
      </c>
      <c r="E32" s="83" t="s">
        <v>38</v>
      </c>
      <c r="F32" s="77" t="s">
        <v>347</v>
      </c>
    </row>
    <row r="33" spans="1:6" ht="39.950000000000003" customHeight="1">
      <c r="A33" s="4">
        <v>31</v>
      </c>
      <c r="B33" s="1"/>
      <c r="C33" s="81" t="s">
        <v>368</v>
      </c>
      <c r="D33" s="79"/>
      <c r="E33" s="83" t="s">
        <v>103</v>
      </c>
      <c r="F33" s="77" t="s">
        <v>347</v>
      </c>
    </row>
    <row r="34" spans="1:6" ht="42.75">
      <c r="A34" s="4">
        <v>32</v>
      </c>
      <c r="B34" s="1">
        <v>5900837</v>
      </c>
      <c r="C34" s="81" t="s">
        <v>369</v>
      </c>
      <c r="D34" s="79" t="s">
        <v>330</v>
      </c>
      <c r="E34" s="83" t="s">
        <v>352</v>
      </c>
      <c r="F34" s="77" t="s">
        <v>347</v>
      </c>
    </row>
    <row r="35" spans="1:6" ht="39.950000000000003" customHeight="1">
      <c r="A35" s="70">
        <v>33</v>
      </c>
      <c r="B35" s="1">
        <v>5900803</v>
      </c>
      <c r="C35" s="81" t="s">
        <v>85</v>
      </c>
      <c r="D35" s="79" t="s">
        <v>336</v>
      </c>
      <c r="E35" s="83" t="s">
        <v>49</v>
      </c>
      <c r="F35" s="77" t="s">
        <v>347</v>
      </c>
    </row>
    <row r="36" spans="1:6" ht="57">
      <c r="A36" s="4">
        <v>34</v>
      </c>
      <c r="B36" s="1">
        <v>5900737</v>
      </c>
      <c r="C36" s="81" t="s">
        <v>95</v>
      </c>
      <c r="D36" s="79" t="s">
        <v>333</v>
      </c>
      <c r="E36" s="83" t="s">
        <v>49</v>
      </c>
      <c r="F36" s="77" t="s">
        <v>347</v>
      </c>
    </row>
    <row r="37" spans="1:6" ht="39.950000000000003" customHeight="1">
      <c r="A37" s="4">
        <v>35</v>
      </c>
      <c r="B37" s="1">
        <v>5900921</v>
      </c>
      <c r="C37" s="81" t="s">
        <v>370</v>
      </c>
      <c r="D37" s="79" t="s">
        <v>330</v>
      </c>
      <c r="E37" s="83" t="s">
        <v>103</v>
      </c>
      <c r="F37" s="77" t="s">
        <v>347</v>
      </c>
    </row>
    <row r="38" spans="1:6" ht="42.75">
      <c r="A38" s="4">
        <v>36</v>
      </c>
      <c r="B38" s="1">
        <v>5900892</v>
      </c>
      <c r="C38" s="81" t="s">
        <v>371</v>
      </c>
      <c r="D38" s="79" t="s">
        <v>330</v>
      </c>
      <c r="E38" s="83" t="s">
        <v>362</v>
      </c>
      <c r="F38" s="77" t="s">
        <v>347</v>
      </c>
    </row>
    <row r="39" spans="1:6" ht="42.75">
      <c r="A39" s="4">
        <v>37</v>
      </c>
      <c r="B39" s="1">
        <v>5900878</v>
      </c>
      <c r="C39" s="81" t="s">
        <v>372</v>
      </c>
      <c r="D39" s="79" t="s">
        <v>333</v>
      </c>
      <c r="E39" s="83" t="s">
        <v>352</v>
      </c>
      <c r="F39" s="77" t="s">
        <v>347</v>
      </c>
    </row>
    <row r="40" spans="1:6" ht="57">
      <c r="A40" s="4">
        <v>38</v>
      </c>
      <c r="B40" s="1">
        <v>5900486</v>
      </c>
      <c r="C40" s="81" t="s">
        <v>373</v>
      </c>
      <c r="D40" s="79" t="s">
        <v>333</v>
      </c>
      <c r="E40" s="83" t="s">
        <v>38</v>
      </c>
      <c r="F40" s="79"/>
    </row>
    <row r="41" spans="1:6" ht="39.950000000000003" customHeight="1">
      <c r="A41" s="4">
        <v>39</v>
      </c>
      <c r="B41" s="1">
        <v>5900585</v>
      </c>
      <c r="C41" s="81" t="s">
        <v>374</v>
      </c>
      <c r="D41" s="79" t="s">
        <v>333</v>
      </c>
      <c r="E41" s="83" t="s">
        <v>49</v>
      </c>
      <c r="F41" s="79"/>
    </row>
    <row r="42" spans="1:6" ht="42.75" hidden="1">
      <c r="A42" s="4">
        <v>40</v>
      </c>
      <c r="B42" s="1">
        <v>5900620</v>
      </c>
      <c r="C42" s="81" t="s">
        <v>375</v>
      </c>
      <c r="D42" s="82"/>
      <c r="E42" s="83" t="s">
        <v>327</v>
      </c>
      <c r="F42" s="76" t="s">
        <v>328</v>
      </c>
    </row>
    <row r="43" spans="1:6" ht="42.75" hidden="1">
      <c r="A43" s="70">
        <v>41</v>
      </c>
      <c r="B43" s="1">
        <v>5900366</v>
      </c>
      <c r="C43" s="81" t="s">
        <v>376</v>
      </c>
      <c r="D43" s="82"/>
      <c r="E43" s="83" t="s">
        <v>49</v>
      </c>
      <c r="F43" s="76" t="s">
        <v>328</v>
      </c>
    </row>
    <row r="44" spans="1:6" ht="39.950000000000003" customHeight="1">
      <c r="A44" s="4">
        <v>42</v>
      </c>
      <c r="B44" s="1">
        <v>5900389</v>
      </c>
      <c r="C44" s="81" t="s">
        <v>377</v>
      </c>
      <c r="D44" s="79" t="s">
        <v>330</v>
      </c>
      <c r="E44" s="83" t="s">
        <v>49</v>
      </c>
      <c r="F44" s="79"/>
    </row>
    <row r="45" spans="1:6" ht="85.5" hidden="1">
      <c r="A45" s="4">
        <v>43</v>
      </c>
      <c r="B45" s="1">
        <v>5900403</v>
      </c>
      <c r="C45" s="81" t="s">
        <v>378</v>
      </c>
      <c r="D45" s="82"/>
      <c r="E45" s="83" t="s">
        <v>38</v>
      </c>
      <c r="F45" s="76" t="s">
        <v>328</v>
      </c>
    </row>
    <row r="46" spans="1:6" ht="39.950000000000003" hidden="1" customHeight="1">
      <c r="A46" s="4">
        <v>44</v>
      </c>
      <c r="B46" s="1">
        <v>5900555</v>
      </c>
      <c r="C46" s="81" t="s">
        <v>379</v>
      </c>
      <c r="D46" s="82"/>
      <c r="E46" s="83" t="s">
        <v>49</v>
      </c>
      <c r="F46" s="76" t="s">
        <v>328</v>
      </c>
    </row>
    <row r="47" spans="1:6" ht="71.25" hidden="1">
      <c r="A47" s="4">
        <v>45</v>
      </c>
      <c r="B47" s="1">
        <v>5900617</v>
      </c>
      <c r="C47" s="81" t="s">
        <v>380</v>
      </c>
      <c r="D47" s="82"/>
      <c r="E47" s="83" t="s">
        <v>362</v>
      </c>
      <c r="F47" s="76" t="s">
        <v>328</v>
      </c>
    </row>
    <row r="48" spans="1:6" ht="45.6" hidden="1" customHeight="1">
      <c r="A48" s="4">
        <v>46</v>
      </c>
      <c r="B48" s="1">
        <v>5900687</v>
      </c>
      <c r="C48" s="81" t="s">
        <v>381</v>
      </c>
      <c r="D48" s="82"/>
      <c r="E48" s="83" t="s">
        <v>382</v>
      </c>
      <c r="F48" s="76" t="s">
        <v>328</v>
      </c>
    </row>
    <row r="49" spans="1:6" ht="44.45" customHeight="1">
      <c r="A49" s="4">
        <v>47</v>
      </c>
      <c r="B49" s="1">
        <v>5900653</v>
      </c>
      <c r="C49" s="81" t="s">
        <v>383</v>
      </c>
      <c r="D49" s="79" t="s">
        <v>330</v>
      </c>
      <c r="E49" s="83" t="s">
        <v>38</v>
      </c>
      <c r="F49" s="79"/>
    </row>
    <row r="50" spans="1:6" ht="47.1" hidden="1" customHeight="1">
      <c r="A50" s="4">
        <v>48</v>
      </c>
      <c r="B50" s="1">
        <v>5900769</v>
      </c>
      <c r="C50" s="81" t="s">
        <v>384</v>
      </c>
      <c r="D50" s="82" t="s">
        <v>330</v>
      </c>
      <c r="E50" s="83" t="s">
        <v>352</v>
      </c>
      <c r="F50" s="76" t="s">
        <v>328</v>
      </c>
    </row>
    <row r="51" spans="1:6" ht="39.950000000000003" customHeight="1">
      <c r="A51" s="70">
        <v>49</v>
      </c>
      <c r="B51" s="1">
        <v>5900796</v>
      </c>
      <c r="C51" s="81" t="s">
        <v>385</v>
      </c>
      <c r="D51" s="79" t="s">
        <v>336</v>
      </c>
      <c r="E51" s="83" t="s">
        <v>38</v>
      </c>
      <c r="F51" s="79"/>
    </row>
    <row r="52" spans="1:6" ht="39.950000000000003" customHeight="1">
      <c r="A52" s="4">
        <v>50</v>
      </c>
      <c r="B52" s="1">
        <v>5900913</v>
      </c>
      <c r="C52" s="81" t="s">
        <v>386</v>
      </c>
      <c r="D52" s="79" t="s">
        <v>330</v>
      </c>
      <c r="E52" s="83" t="s">
        <v>38</v>
      </c>
      <c r="F52" s="77" t="s">
        <v>347</v>
      </c>
    </row>
    <row r="53" spans="1:6" ht="45.95" customHeight="1">
      <c r="A53" s="4">
        <v>51</v>
      </c>
      <c r="B53" s="1">
        <v>5900928</v>
      </c>
      <c r="C53" s="81" t="s">
        <v>387</v>
      </c>
      <c r="D53" s="83" t="s">
        <v>342</v>
      </c>
      <c r="E53" s="83" t="s">
        <v>38</v>
      </c>
      <c r="F53" s="77" t="s">
        <v>347</v>
      </c>
    </row>
    <row r="54" spans="1:6" ht="39.950000000000003" customHeight="1">
      <c r="A54" s="4">
        <v>52</v>
      </c>
      <c r="B54" s="1">
        <v>5900942</v>
      </c>
      <c r="C54" s="81" t="s">
        <v>139</v>
      </c>
      <c r="D54" s="83" t="s">
        <v>342</v>
      </c>
      <c r="E54" s="83" t="s">
        <v>49</v>
      </c>
      <c r="F54" s="77" t="s">
        <v>347</v>
      </c>
    </row>
    <row r="55" spans="1:6" ht="45.95" customHeight="1">
      <c r="A55" s="4">
        <v>53</v>
      </c>
      <c r="B55" s="1">
        <v>5900899</v>
      </c>
      <c r="C55" s="81" t="s">
        <v>388</v>
      </c>
      <c r="D55" s="83" t="s">
        <v>389</v>
      </c>
      <c r="E55" s="83" t="s">
        <v>390</v>
      </c>
      <c r="F55" s="77" t="s">
        <v>347</v>
      </c>
    </row>
    <row r="56" spans="1:6" ht="39.950000000000003" customHeight="1">
      <c r="A56" s="4">
        <v>54</v>
      </c>
      <c r="B56" s="1">
        <v>5900927</v>
      </c>
      <c r="C56" s="81" t="s">
        <v>391</v>
      </c>
      <c r="D56" s="83" t="s">
        <v>389</v>
      </c>
      <c r="E56" s="83" t="s">
        <v>49</v>
      </c>
      <c r="F56" s="77" t="s">
        <v>347</v>
      </c>
    </row>
    <row r="57" spans="1:6" ht="39.950000000000003" customHeight="1">
      <c r="A57" s="4">
        <v>55</v>
      </c>
      <c r="B57" s="1">
        <v>5900935</v>
      </c>
      <c r="C57" s="81" t="s">
        <v>392</v>
      </c>
      <c r="D57" s="83" t="s">
        <v>342</v>
      </c>
      <c r="E57" s="83" t="s">
        <v>49</v>
      </c>
      <c r="F57" s="77" t="s">
        <v>347</v>
      </c>
    </row>
    <row r="58" spans="1:6" ht="39.950000000000003" customHeight="1">
      <c r="A58" s="4">
        <v>56</v>
      </c>
      <c r="B58" s="1">
        <v>5900954</v>
      </c>
      <c r="C58" s="81" t="s">
        <v>393</v>
      </c>
      <c r="D58" s="79" t="s">
        <v>330</v>
      </c>
      <c r="E58" s="83" t="s">
        <v>352</v>
      </c>
      <c r="F58" s="77" t="s">
        <v>347</v>
      </c>
    </row>
    <row r="59" spans="1:6" ht="39.950000000000003" customHeight="1">
      <c r="A59" s="4">
        <v>57</v>
      </c>
      <c r="B59" s="1">
        <v>5900978</v>
      </c>
      <c r="C59" s="81" t="s">
        <v>155</v>
      </c>
      <c r="D59" s="79" t="s">
        <v>330</v>
      </c>
      <c r="E59" s="83" t="s">
        <v>103</v>
      </c>
      <c r="F59" s="77" t="s">
        <v>347</v>
      </c>
    </row>
    <row r="60" spans="1:6" ht="39.950000000000003" customHeight="1">
      <c r="A60" s="4">
        <v>58</v>
      </c>
      <c r="B60" s="1">
        <v>5900982</v>
      </c>
      <c r="C60" s="81" t="s">
        <v>169</v>
      </c>
      <c r="D60" s="79" t="s">
        <v>330</v>
      </c>
      <c r="E60" s="83" t="s">
        <v>362</v>
      </c>
      <c r="F60" s="77" t="s">
        <v>347</v>
      </c>
    </row>
    <row r="61" spans="1:6" ht="39.950000000000003" customHeight="1">
      <c r="A61" s="4">
        <v>59</v>
      </c>
      <c r="B61" s="1">
        <v>5900983</v>
      </c>
      <c r="C61" s="81" t="s">
        <v>178</v>
      </c>
      <c r="D61" s="79" t="s">
        <v>330</v>
      </c>
      <c r="E61" s="83" t="s">
        <v>362</v>
      </c>
      <c r="F61" s="77" t="s">
        <v>347</v>
      </c>
    </row>
    <row r="62" spans="1:6" ht="39.950000000000003" customHeight="1">
      <c r="A62" s="4">
        <v>60</v>
      </c>
      <c r="B62" s="1">
        <v>5900970</v>
      </c>
      <c r="C62" s="81" t="s">
        <v>164</v>
      </c>
      <c r="D62" s="83" t="s">
        <v>342</v>
      </c>
      <c r="E62" s="83" t="s">
        <v>49</v>
      </c>
      <c r="F62" s="77" t="s">
        <v>347</v>
      </c>
    </row>
    <row r="63" spans="1:6" ht="39.950000000000003" customHeight="1">
      <c r="A63" s="4">
        <v>61</v>
      </c>
      <c r="B63" s="1">
        <v>5900808</v>
      </c>
      <c r="C63" s="81" t="s">
        <v>355</v>
      </c>
      <c r="D63" s="83"/>
      <c r="E63" s="83" t="s">
        <v>352</v>
      </c>
      <c r="F63" s="77" t="s">
        <v>347</v>
      </c>
    </row>
    <row r="64" spans="1:6" ht="39.950000000000003" customHeight="1">
      <c r="A64" s="4">
        <v>62</v>
      </c>
      <c r="B64" s="1">
        <v>5900993</v>
      </c>
      <c r="C64" s="81" t="s">
        <v>394</v>
      </c>
      <c r="D64" s="79" t="s">
        <v>330</v>
      </c>
      <c r="E64" s="83" t="s">
        <v>352</v>
      </c>
      <c r="F64" s="77" t="s">
        <v>347</v>
      </c>
    </row>
    <row r="65" spans="1:6" ht="39.950000000000003" customHeight="1">
      <c r="A65" s="4">
        <v>63</v>
      </c>
      <c r="B65" s="1">
        <v>5900996</v>
      </c>
      <c r="C65" s="81" t="s">
        <v>184</v>
      </c>
      <c r="D65" s="79" t="s">
        <v>330</v>
      </c>
      <c r="E65" s="83" t="s">
        <v>38</v>
      </c>
      <c r="F65" s="77" t="s">
        <v>347</v>
      </c>
    </row>
    <row r="66" spans="1:6" ht="39.950000000000003" customHeight="1">
      <c r="A66" s="4">
        <v>64</v>
      </c>
      <c r="B66" s="1">
        <v>5900949</v>
      </c>
      <c r="C66" s="81" t="s">
        <v>395</v>
      </c>
      <c r="D66" s="79" t="s">
        <v>333</v>
      </c>
      <c r="E66" s="83" t="s">
        <v>103</v>
      </c>
      <c r="F66" s="77" t="s">
        <v>347</v>
      </c>
    </row>
  </sheetData>
  <autoFilter ref="A1:F62" xr:uid="{AD0D3AD6-6A7F-4424-9194-849ED94B2EA3}">
    <filterColumn colId="5">
      <filters blank="1">
        <filter val="Open"/>
      </filters>
    </filterColumn>
  </autoFilter>
  <mergeCells count="6">
    <mergeCell ref="F1:F2"/>
    <mergeCell ref="A1:A2"/>
    <mergeCell ref="B1:B2"/>
    <mergeCell ref="C1:C2"/>
    <mergeCell ref="D1:D2"/>
    <mergeCell ref="E1: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7BBE8-3B30-47A9-8343-D7B659BC11E7}">
  <sheetPr codeName="Sheet3"/>
  <dimension ref="A1:Y17"/>
  <sheetViews>
    <sheetView workbookViewId="0">
      <selection activeCell="K7" sqref="K7"/>
    </sheetView>
  </sheetViews>
  <sheetFormatPr defaultRowHeight="15"/>
  <cols>
    <col min="1" max="1" width="8.7109375" style="87"/>
    <col min="2" max="25" width="9.5703125" customWidth="1"/>
  </cols>
  <sheetData>
    <row r="1" spans="1:25" ht="30" customHeight="1" thickBot="1">
      <c r="A1" s="258" t="s">
        <v>396</v>
      </c>
      <c r="B1" s="259"/>
      <c r="C1" s="259"/>
      <c r="D1" s="259"/>
      <c r="E1" s="259"/>
      <c r="F1" s="259"/>
      <c r="G1" s="259"/>
      <c r="H1" s="259"/>
      <c r="I1" s="259"/>
      <c r="J1" s="259"/>
      <c r="K1" s="259"/>
      <c r="L1" s="259"/>
      <c r="M1" s="259"/>
      <c r="N1" s="259"/>
      <c r="O1" s="259"/>
      <c r="P1" s="259"/>
      <c r="Q1" s="259"/>
      <c r="R1" s="259"/>
      <c r="S1" s="259"/>
      <c r="T1" s="259"/>
      <c r="U1" s="259"/>
      <c r="V1" s="259"/>
      <c r="W1" s="259"/>
      <c r="X1" s="259"/>
      <c r="Y1" s="260"/>
    </row>
    <row r="2" spans="1:25" ht="24.95" customHeight="1" thickBot="1">
      <c r="A2" s="91"/>
      <c r="B2" s="252">
        <v>2024</v>
      </c>
      <c r="C2" s="253"/>
      <c r="D2" s="253"/>
      <c r="E2" s="253"/>
      <c r="F2" s="253"/>
      <c r="G2" s="253"/>
      <c r="H2" s="253"/>
      <c r="I2" s="253"/>
      <c r="J2" s="253"/>
      <c r="K2" s="253"/>
      <c r="L2" s="253"/>
      <c r="M2" s="254"/>
      <c r="N2" s="255">
        <v>2025</v>
      </c>
      <c r="O2" s="256"/>
      <c r="P2" s="256"/>
      <c r="Q2" s="256"/>
      <c r="R2" s="256"/>
      <c r="S2" s="256"/>
      <c r="T2" s="256"/>
      <c r="U2" s="256"/>
      <c r="V2" s="256"/>
      <c r="W2" s="256"/>
      <c r="X2" s="256"/>
      <c r="Y2" s="257"/>
    </row>
    <row r="3" spans="1:25" ht="24.95" customHeight="1" thickBot="1">
      <c r="A3" s="91" t="s">
        <v>397</v>
      </c>
      <c r="B3" s="94" t="s">
        <v>398</v>
      </c>
      <c r="C3" s="95" t="s">
        <v>399</v>
      </c>
      <c r="D3" s="95" t="s">
        <v>400</v>
      </c>
      <c r="E3" s="95" t="s">
        <v>401</v>
      </c>
      <c r="F3" s="95" t="s">
        <v>402</v>
      </c>
      <c r="G3" s="95" t="s">
        <v>403</v>
      </c>
      <c r="H3" s="95" t="s">
        <v>404</v>
      </c>
      <c r="I3" s="95" t="s">
        <v>405</v>
      </c>
      <c r="J3" s="95" t="s">
        <v>406</v>
      </c>
      <c r="K3" s="95" t="s">
        <v>407</v>
      </c>
      <c r="L3" s="95" t="s">
        <v>408</v>
      </c>
      <c r="M3" s="96" t="s">
        <v>409</v>
      </c>
      <c r="N3" s="94" t="s">
        <v>398</v>
      </c>
      <c r="O3" s="95" t="s">
        <v>399</v>
      </c>
      <c r="P3" s="95" t="s">
        <v>400</v>
      </c>
      <c r="Q3" s="95" t="s">
        <v>401</v>
      </c>
      <c r="R3" s="95" t="s">
        <v>402</v>
      </c>
      <c r="S3" s="95" t="s">
        <v>403</v>
      </c>
      <c r="T3" s="95" t="s">
        <v>404</v>
      </c>
      <c r="U3" s="95" t="s">
        <v>405</v>
      </c>
      <c r="V3" s="95" t="s">
        <v>406</v>
      </c>
      <c r="W3" s="95" t="s">
        <v>407</v>
      </c>
      <c r="X3" s="95" t="s">
        <v>408</v>
      </c>
      <c r="Y3" s="96" t="s">
        <v>409</v>
      </c>
    </row>
    <row r="4" spans="1:25" ht="33.950000000000003" customHeight="1">
      <c r="A4" s="91">
        <v>1</v>
      </c>
      <c r="B4" s="97"/>
      <c r="C4" s="98"/>
      <c r="D4" s="102" t="s">
        <v>410</v>
      </c>
      <c r="E4" s="102" t="s">
        <v>411</v>
      </c>
      <c r="F4" s="102" t="s">
        <v>412</v>
      </c>
      <c r="G4" s="98"/>
      <c r="H4" s="103" t="s">
        <v>413</v>
      </c>
      <c r="I4" s="102" t="s">
        <v>414</v>
      </c>
      <c r="J4" s="103" t="s">
        <v>415</v>
      </c>
      <c r="K4" s="102" t="s">
        <v>416</v>
      </c>
      <c r="L4" s="107" t="s">
        <v>417</v>
      </c>
      <c r="M4" s="106" t="s">
        <v>418</v>
      </c>
      <c r="N4" s="109" t="s">
        <v>419</v>
      </c>
      <c r="O4" s="107" t="s">
        <v>420</v>
      </c>
      <c r="P4" s="98"/>
      <c r="Q4" s="98"/>
      <c r="R4" s="98"/>
      <c r="S4" s="98"/>
      <c r="T4" s="98"/>
      <c r="U4" s="98"/>
      <c r="V4" s="98"/>
      <c r="W4" s="98"/>
      <c r="X4" s="98"/>
      <c r="Y4" s="101"/>
    </row>
    <row r="5" spans="1:25" ht="33.950000000000003" customHeight="1">
      <c r="A5" s="91">
        <v>2</v>
      </c>
      <c r="B5" s="92"/>
      <c r="C5" s="3"/>
      <c r="D5" s="3"/>
      <c r="E5" s="3"/>
      <c r="F5" s="3"/>
      <c r="G5" s="3"/>
      <c r="H5" s="104" t="s">
        <v>421</v>
      </c>
      <c r="I5" s="3"/>
      <c r="J5" s="105" t="s">
        <v>422</v>
      </c>
      <c r="K5" s="104" t="s">
        <v>423</v>
      </c>
      <c r="L5" s="104" t="s">
        <v>424</v>
      </c>
      <c r="M5" s="108" t="s">
        <v>425</v>
      </c>
      <c r="N5" s="111" t="s">
        <v>426</v>
      </c>
      <c r="O5" s="105" t="s">
        <v>427</v>
      </c>
      <c r="P5" s="3"/>
      <c r="Q5" s="3"/>
      <c r="R5" s="3"/>
      <c r="S5" s="3"/>
      <c r="T5" s="3"/>
      <c r="U5" s="3"/>
      <c r="V5" s="3"/>
      <c r="W5" s="3"/>
      <c r="X5" s="3"/>
      <c r="Y5" s="88"/>
    </row>
    <row r="6" spans="1:25" ht="33.950000000000003" customHeight="1">
      <c r="A6" s="91">
        <v>3</v>
      </c>
      <c r="B6" s="92"/>
      <c r="C6" s="3"/>
      <c r="D6" s="3"/>
      <c r="E6" s="3"/>
      <c r="F6" s="3"/>
      <c r="G6" s="3"/>
      <c r="H6" s="105" t="s">
        <v>428</v>
      </c>
      <c r="I6" s="3"/>
      <c r="J6" s="104" t="s">
        <v>429</v>
      </c>
      <c r="K6" s="105" t="s">
        <v>430</v>
      </c>
      <c r="L6" s="104" t="s">
        <v>431</v>
      </c>
      <c r="M6" s="110" t="s">
        <v>432</v>
      </c>
      <c r="N6" s="111" t="s">
        <v>433</v>
      </c>
      <c r="O6" s="105" t="s">
        <v>434</v>
      </c>
      <c r="P6" s="3"/>
      <c r="Q6" s="3"/>
      <c r="R6" s="3"/>
      <c r="S6" s="3"/>
      <c r="T6" s="3"/>
      <c r="U6" s="3"/>
      <c r="V6" s="3"/>
      <c r="W6" s="3"/>
      <c r="X6" s="3"/>
      <c r="Y6" s="88"/>
    </row>
    <row r="7" spans="1:25" ht="33.950000000000003" customHeight="1">
      <c r="A7" s="91">
        <v>4</v>
      </c>
      <c r="B7" s="92"/>
      <c r="C7" s="3"/>
      <c r="D7" s="3"/>
      <c r="E7" s="3"/>
      <c r="F7" s="3"/>
      <c r="G7" s="3"/>
      <c r="H7" s="3"/>
      <c r="I7" s="3"/>
      <c r="J7" s="104" t="s">
        <v>435</v>
      </c>
      <c r="K7" s="3"/>
      <c r="L7" s="104" t="s">
        <v>436</v>
      </c>
      <c r="M7" s="108" t="s">
        <v>437</v>
      </c>
      <c r="N7" s="92"/>
      <c r="O7" s="3"/>
      <c r="P7" s="3"/>
      <c r="Q7" s="3"/>
      <c r="R7" s="3"/>
      <c r="S7" s="3"/>
      <c r="T7" s="3"/>
      <c r="U7" s="3"/>
      <c r="V7" s="3"/>
      <c r="W7" s="3"/>
      <c r="X7" s="3"/>
      <c r="Y7" s="88"/>
    </row>
    <row r="8" spans="1:25" ht="33.950000000000003" customHeight="1">
      <c r="A8" s="91">
        <v>5</v>
      </c>
      <c r="B8" s="92"/>
      <c r="C8" s="3"/>
      <c r="D8" s="3"/>
      <c r="E8" s="3"/>
      <c r="F8" s="3"/>
      <c r="G8" s="3"/>
      <c r="H8" s="3"/>
      <c r="I8" s="3"/>
      <c r="J8" s="3"/>
      <c r="K8" s="3"/>
      <c r="L8" s="3"/>
      <c r="M8" s="108" t="s">
        <v>438</v>
      </c>
      <c r="N8" s="92"/>
      <c r="O8" s="3"/>
      <c r="P8" s="3"/>
      <c r="Q8" s="3"/>
      <c r="R8" s="3"/>
      <c r="S8" s="3"/>
      <c r="T8" s="3"/>
      <c r="U8" s="3"/>
      <c r="V8" s="3"/>
      <c r="W8" s="3"/>
      <c r="X8" s="3"/>
      <c r="Y8" s="88"/>
    </row>
    <row r="9" spans="1:25" ht="33.950000000000003" customHeight="1">
      <c r="A9" s="91">
        <v>6</v>
      </c>
      <c r="B9" s="92"/>
      <c r="C9" s="3"/>
      <c r="D9" s="3"/>
      <c r="E9" s="3"/>
      <c r="F9" s="3"/>
      <c r="G9" s="3"/>
      <c r="H9" s="3"/>
      <c r="I9" s="3"/>
      <c r="J9" s="3"/>
      <c r="K9" s="3"/>
      <c r="L9" s="3"/>
      <c r="M9" s="99"/>
      <c r="N9" s="92"/>
      <c r="O9" s="3"/>
      <c r="P9" s="3"/>
      <c r="Q9" s="3"/>
      <c r="R9" s="3"/>
      <c r="S9" s="3"/>
      <c r="T9" s="3"/>
      <c r="U9" s="3"/>
      <c r="V9" s="3"/>
      <c r="W9" s="3"/>
      <c r="X9" s="3"/>
      <c r="Y9" s="88"/>
    </row>
    <row r="10" spans="1:25" ht="33.950000000000003" customHeight="1">
      <c r="A10" s="91">
        <v>7</v>
      </c>
      <c r="B10" s="92"/>
      <c r="C10" s="3"/>
      <c r="D10" s="3"/>
      <c r="E10" s="3"/>
      <c r="F10" s="3"/>
      <c r="G10" s="3"/>
      <c r="H10" s="3"/>
      <c r="I10" s="3"/>
      <c r="J10" s="3"/>
      <c r="K10" s="3"/>
      <c r="L10" s="3"/>
      <c r="M10" s="99"/>
      <c r="N10" s="92"/>
      <c r="O10" s="3"/>
      <c r="P10" s="3"/>
      <c r="Q10" s="3"/>
      <c r="R10" s="3"/>
      <c r="S10" s="3"/>
      <c r="T10" s="3"/>
      <c r="U10" s="3"/>
      <c r="V10" s="3"/>
      <c r="W10" s="3"/>
      <c r="X10" s="3"/>
      <c r="Y10" s="88"/>
    </row>
    <row r="11" spans="1:25" ht="33.950000000000003" customHeight="1">
      <c r="A11" s="91">
        <v>8</v>
      </c>
      <c r="B11" s="92"/>
      <c r="C11" s="3"/>
      <c r="D11" s="3"/>
      <c r="E11" s="3"/>
      <c r="F11" s="3"/>
      <c r="G11" s="3"/>
      <c r="H11" s="3"/>
      <c r="I11" s="3"/>
      <c r="J11" s="3"/>
      <c r="K11" s="3"/>
      <c r="L11" s="3"/>
      <c r="M11" s="99"/>
      <c r="N11" s="92"/>
      <c r="O11" s="3"/>
      <c r="P11" s="3"/>
      <c r="Q11" s="3"/>
      <c r="R11" s="3"/>
      <c r="S11" s="3"/>
      <c r="T11" s="3"/>
      <c r="U11" s="3"/>
      <c r="V11" s="3"/>
      <c r="W11" s="3"/>
      <c r="X11" s="3"/>
      <c r="Y11" s="88"/>
    </row>
    <row r="12" spans="1:25" ht="33.950000000000003" customHeight="1">
      <c r="A12" s="91">
        <v>9</v>
      </c>
      <c r="B12" s="92"/>
      <c r="C12" s="3"/>
      <c r="D12" s="3"/>
      <c r="E12" s="3"/>
      <c r="F12" s="3"/>
      <c r="G12" s="3"/>
      <c r="H12" s="3"/>
      <c r="I12" s="3"/>
      <c r="J12" s="3"/>
      <c r="K12" s="3"/>
      <c r="L12" s="3"/>
      <c r="M12" s="99"/>
      <c r="N12" s="92"/>
      <c r="O12" s="3"/>
      <c r="P12" s="3"/>
      <c r="Q12" s="3"/>
      <c r="R12" s="3"/>
      <c r="S12" s="3"/>
      <c r="T12" s="3"/>
      <c r="U12" s="3"/>
      <c r="V12" s="3"/>
      <c r="W12" s="3"/>
      <c r="X12" s="3"/>
      <c r="Y12" s="88"/>
    </row>
    <row r="13" spans="1:25" ht="33.950000000000003" customHeight="1" thickBot="1">
      <c r="A13" s="91">
        <v>10</v>
      </c>
      <c r="B13" s="93"/>
      <c r="C13" s="89"/>
      <c r="D13" s="89"/>
      <c r="E13" s="89"/>
      <c r="F13" s="89"/>
      <c r="G13" s="89"/>
      <c r="H13" s="89"/>
      <c r="I13" s="89"/>
      <c r="J13" s="89"/>
      <c r="K13" s="89"/>
      <c r="L13" s="89"/>
      <c r="M13" s="100"/>
      <c r="N13" s="93"/>
      <c r="O13" s="89"/>
      <c r="P13" s="89"/>
      <c r="Q13" s="89"/>
      <c r="R13" s="89"/>
      <c r="S13" s="89"/>
      <c r="T13" s="89"/>
      <c r="U13" s="89"/>
      <c r="V13" s="89"/>
      <c r="W13" s="89"/>
      <c r="X13" s="89"/>
      <c r="Y13" s="90"/>
    </row>
    <row r="15" spans="1:25" ht="14.45" customHeight="1">
      <c r="A15" s="261" t="s">
        <v>439</v>
      </c>
      <c r="B15" s="261"/>
    </row>
    <row r="16" spans="1:25" ht="33" customHeight="1">
      <c r="A16" s="262" t="s">
        <v>440</v>
      </c>
      <c r="B16" s="262"/>
    </row>
    <row r="17" spans="1:2">
      <c r="A17" s="251" t="s">
        <v>441</v>
      </c>
      <c r="B17" s="251"/>
    </row>
  </sheetData>
  <autoFilter ref="B3:Y3" xr:uid="{7F47BBE8-3B30-47A9-8343-D7B659BC11E7}"/>
  <mergeCells count="6">
    <mergeCell ref="A17:B17"/>
    <mergeCell ref="B2:M2"/>
    <mergeCell ref="N2:Y2"/>
    <mergeCell ref="A1:Y1"/>
    <mergeCell ref="A15:B15"/>
    <mergeCell ref="A16:B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2968E-D138-4735-ADB5-D767E307C056}">
  <sheetPr codeName="Sheet4"/>
  <dimension ref="B8:Q16"/>
  <sheetViews>
    <sheetView zoomScale="85" zoomScaleNormal="85" workbookViewId="0">
      <selection activeCell="K15" sqref="K15"/>
    </sheetView>
  </sheetViews>
  <sheetFormatPr defaultRowHeight="15"/>
  <cols>
    <col min="3" max="3" width="13.140625" customWidth="1"/>
    <col min="4" max="4" width="20.42578125" customWidth="1"/>
    <col min="5" max="5" width="23.85546875" customWidth="1"/>
    <col min="6" max="6" width="13.85546875" customWidth="1"/>
    <col min="7" max="7" width="12.5703125" customWidth="1"/>
    <col min="8" max="10" width="17.85546875" customWidth="1"/>
    <col min="11" max="11" width="30.140625" customWidth="1"/>
    <col min="12" max="12" width="18.85546875" customWidth="1"/>
    <col min="13" max="13" width="12.140625" customWidth="1"/>
    <col min="15" max="15" width="13.85546875" customWidth="1"/>
    <col min="16" max="16" width="14.85546875" customWidth="1"/>
    <col min="17" max="17" width="11.140625" customWidth="1"/>
  </cols>
  <sheetData>
    <row r="8" spans="2:17" ht="15.75" thickBot="1"/>
    <row r="9" spans="2:17" ht="15.75" thickBot="1">
      <c r="B9" s="265" t="s">
        <v>3</v>
      </c>
      <c r="C9" s="267" t="s">
        <v>321</v>
      </c>
      <c r="D9" s="269" t="s">
        <v>442</v>
      </c>
      <c r="E9" s="269" t="s">
        <v>322</v>
      </c>
      <c r="F9" s="269" t="s">
        <v>6</v>
      </c>
      <c r="G9" s="269" t="s">
        <v>7</v>
      </c>
      <c r="H9" s="272" t="s">
        <v>443</v>
      </c>
      <c r="I9" s="272" t="s">
        <v>444</v>
      </c>
      <c r="J9" s="272" t="s">
        <v>445</v>
      </c>
      <c r="K9" s="274" t="s">
        <v>446</v>
      </c>
      <c r="L9" s="276" t="s">
        <v>447</v>
      </c>
      <c r="M9" s="277"/>
      <c r="N9" s="277"/>
      <c r="O9" s="277"/>
      <c r="P9" s="278"/>
      <c r="Q9" s="263" t="s">
        <v>35</v>
      </c>
    </row>
    <row r="10" spans="2:17" ht="45.75" thickBot="1">
      <c r="B10" s="266"/>
      <c r="C10" s="268"/>
      <c r="D10" s="270"/>
      <c r="E10" s="271"/>
      <c r="F10" s="270"/>
      <c r="G10" s="270"/>
      <c r="H10" s="273"/>
      <c r="I10" s="273"/>
      <c r="J10" s="273"/>
      <c r="K10" s="275"/>
      <c r="L10" s="53" t="s">
        <v>448</v>
      </c>
      <c r="M10" s="54" t="s">
        <v>449</v>
      </c>
      <c r="N10" s="54" t="s">
        <v>450</v>
      </c>
      <c r="O10" s="54" t="s">
        <v>451</v>
      </c>
      <c r="P10" s="55" t="s">
        <v>452</v>
      </c>
      <c r="Q10" s="264"/>
    </row>
    <row r="11" spans="2:17" ht="51">
      <c r="B11" s="56">
        <v>1</v>
      </c>
      <c r="C11" s="57">
        <v>5900604</v>
      </c>
      <c r="D11" s="57">
        <v>4700016843</v>
      </c>
      <c r="E11" s="57" t="s">
        <v>325</v>
      </c>
      <c r="F11" s="57" t="s">
        <v>122</v>
      </c>
      <c r="G11" s="57" t="s">
        <v>334</v>
      </c>
      <c r="H11" s="57" t="s">
        <v>453</v>
      </c>
      <c r="I11" s="57" t="s">
        <v>454</v>
      </c>
      <c r="J11" s="57" t="s">
        <v>455</v>
      </c>
      <c r="K11" s="57" t="s">
        <v>456</v>
      </c>
      <c r="L11" s="57" t="s">
        <v>457</v>
      </c>
      <c r="M11" s="57" t="s">
        <v>458</v>
      </c>
      <c r="N11" s="57" t="s">
        <v>459</v>
      </c>
      <c r="O11" s="57" t="s">
        <v>460</v>
      </c>
      <c r="P11" s="57" t="s">
        <v>461</v>
      </c>
      <c r="Q11" s="58"/>
    </row>
    <row r="12" spans="2:17" ht="76.5">
      <c r="B12" s="59">
        <v>2</v>
      </c>
      <c r="C12" s="60">
        <v>5900712</v>
      </c>
      <c r="D12" s="60" t="s">
        <v>462</v>
      </c>
      <c r="E12" s="60" t="s">
        <v>335</v>
      </c>
      <c r="F12" s="60" t="s">
        <v>463</v>
      </c>
      <c r="G12" s="60" t="s">
        <v>334</v>
      </c>
      <c r="H12" s="60" t="s">
        <v>464</v>
      </c>
      <c r="I12" s="60" t="s">
        <v>465</v>
      </c>
      <c r="J12" s="60" t="s">
        <v>466</v>
      </c>
      <c r="K12" s="60" t="s">
        <v>467</v>
      </c>
      <c r="L12" s="60" t="s">
        <v>468</v>
      </c>
      <c r="M12" s="60" t="s">
        <v>468</v>
      </c>
      <c r="N12" s="60" t="s">
        <v>468</v>
      </c>
      <c r="O12" s="60" t="s">
        <v>468</v>
      </c>
      <c r="P12" s="60" t="s">
        <v>468</v>
      </c>
      <c r="Q12" s="61"/>
    </row>
    <row r="13" spans="2:17" ht="75.95" customHeight="1">
      <c r="B13" s="59">
        <v>3</v>
      </c>
      <c r="C13" s="60">
        <v>5900590</v>
      </c>
      <c r="D13" s="60">
        <v>5337</v>
      </c>
      <c r="E13" s="60" t="s">
        <v>329</v>
      </c>
      <c r="F13" s="60" t="s">
        <v>37</v>
      </c>
      <c r="G13" s="60" t="s">
        <v>334</v>
      </c>
      <c r="H13" s="60" t="s">
        <v>464</v>
      </c>
      <c r="I13" s="60" t="s">
        <v>469</v>
      </c>
      <c r="J13" s="60" t="s">
        <v>455</v>
      </c>
      <c r="K13" s="60" t="s">
        <v>470</v>
      </c>
      <c r="L13" s="60" t="s">
        <v>471</v>
      </c>
      <c r="M13" s="60" t="s">
        <v>453</v>
      </c>
      <c r="N13" s="60" t="s">
        <v>472</v>
      </c>
      <c r="O13" s="60" t="s">
        <v>465</v>
      </c>
      <c r="P13" s="60" t="s">
        <v>473</v>
      </c>
      <c r="Q13" s="61"/>
    </row>
    <row r="14" spans="2:17" ht="66.599999999999994" customHeight="1">
      <c r="B14" s="59">
        <v>4</v>
      </c>
      <c r="C14" s="60">
        <v>5900434</v>
      </c>
      <c r="D14" s="60" t="s">
        <v>474</v>
      </c>
      <c r="E14" s="60" t="s">
        <v>332</v>
      </c>
      <c r="F14" s="60" t="s">
        <v>122</v>
      </c>
      <c r="G14" s="60" t="s">
        <v>334</v>
      </c>
      <c r="H14" s="60" t="s">
        <v>475</v>
      </c>
      <c r="I14" s="60" t="s">
        <v>476</v>
      </c>
      <c r="J14" s="60" t="s">
        <v>477</v>
      </c>
      <c r="K14" s="60" t="s">
        <v>478</v>
      </c>
      <c r="L14" s="62">
        <f xml:space="preserve"> 21+23+5+41</f>
        <v>90</v>
      </c>
      <c r="M14" s="62">
        <f xml:space="preserve"> 21+23+5+33</f>
        <v>82</v>
      </c>
      <c r="N14" s="60" t="s">
        <v>472</v>
      </c>
      <c r="O14" s="60" t="s">
        <v>479</v>
      </c>
      <c r="P14" s="60" t="s">
        <v>480</v>
      </c>
      <c r="Q14" s="61"/>
    </row>
    <row r="15" spans="2:17" ht="54.6" customHeight="1" thickBot="1">
      <c r="B15" s="63">
        <v>5</v>
      </c>
      <c r="C15" s="64">
        <v>5900304</v>
      </c>
      <c r="D15" s="64">
        <v>4700012103</v>
      </c>
      <c r="E15" s="64" t="s">
        <v>481</v>
      </c>
      <c r="F15" s="64" t="s">
        <v>122</v>
      </c>
      <c r="G15" s="64" t="s">
        <v>334</v>
      </c>
      <c r="H15" s="64" t="s">
        <v>482</v>
      </c>
      <c r="I15" s="64" t="s">
        <v>465</v>
      </c>
      <c r="J15" s="64" t="s">
        <v>455</v>
      </c>
      <c r="K15" s="64" t="s">
        <v>483</v>
      </c>
      <c r="L15" s="64" t="s">
        <v>468</v>
      </c>
      <c r="M15" s="64" t="s">
        <v>468</v>
      </c>
      <c r="N15" s="64" t="s">
        <v>468</v>
      </c>
      <c r="O15" s="64" t="s">
        <v>468</v>
      </c>
      <c r="P15" s="64" t="s">
        <v>468</v>
      </c>
      <c r="Q15" s="65"/>
    </row>
    <row r="16" spans="2:17" ht="29.45" customHeight="1" thickBot="1">
      <c r="K16" s="66" t="s">
        <v>484</v>
      </c>
      <c r="L16" s="67">
        <f>41+10+90</f>
        <v>141</v>
      </c>
      <c r="M16" s="68">
        <f>21+2+82</f>
        <v>105</v>
      </c>
      <c r="N16" s="68">
        <f>18+16</f>
        <v>34</v>
      </c>
      <c r="O16" s="68">
        <v>8</v>
      </c>
      <c r="P16" s="68">
        <v>3</v>
      </c>
      <c r="Q16" s="69"/>
    </row>
  </sheetData>
  <mergeCells count="12">
    <mergeCell ref="Q9:Q10"/>
    <mergeCell ref="B9:B10"/>
    <mergeCell ref="C9:C10"/>
    <mergeCell ref="D9:D10"/>
    <mergeCell ref="E9:E10"/>
    <mergeCell ref="F9:F10"/>
    <mergeCell ref="G9:G10"/>
    <mergeCell ref="H9:H10"/>
    <mergeCell ref="I9:I10"/>
    <mergeCell ref="J9:J10"/>
    <mergeCell ref="K9:K10"/>
    <mergeCell ref="L9:P9"/>
  </mergeCells>
  <pageMargins left="0.7" right="0.7" top="0.75" bottom="0.75" header="0.3" footer="0.3"/>
  <pageSetup paperSize="9" orientation="portrait" horizontalDpi="30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E9163-6E5E-4EAA-80E0-3917ECB3F307}">
  <sheetPr codeName="Sheet5" filterMode="1"/>
  <dimension ref="A1:R45"/>
  <sheetViews>
    <sheetView zoomScale="70" zoomScaleNormal="70" workbookViewId="0">
      <pane ySplit="7" topLeftCell="A39" activePane="bottomLeft" state="frozen"/>
      <selection pane="bottomLeft" activeCell="C39" sqref="C39"/>
    </sheetView>
  </sheetViews>
  <sheetFormatPr defaultRowHeight="15"/>
  <cols>
    <col min="2" max="2" width="12.5703125" customWidth="1"/>
    <col min="3" max="3" width="19.140625" customWidth="1"/>
    <col min="4" max="4" width="34.85546875" customWidth="1"/>
    <col min="5" max="6" width="24.140625" customWidth="1"/>
    <col min="7" max="7" width="32.85546875" customWidth="1"/>
    <col min="8" max="8" width="31" customWidth="1"/>
    <col min="9" max="9" width="26.42578125" customWidth="1"/>
    <col min="10" max="10" width="24.140625" customWidth="1"/>
    <col min="11" max="11" width="29.140625" bestFit="1" customWidth="1"/>
    <col min="12" max="13" width="0.140625" customWidth="1"/>
    <col min="14" max="14" width="15.5703125" customWidth="1"/>
    <col min="18" max="18" width="3.85546875" customWidth="1"/>
  </cols>
  <sheetData>
    <row r="1" spans="1:18">
      <c r="A1" s="293" t="s">
        <v>485</v>
      </c>
      <c r="B1" s="294"/>
      <c r="C1" s="294"/>
      <c r="D1" s="294"/>
      <c r="E1" s="294"/>
      <c r="F1" s="294"/>
      <c r="G1" s="294"/>
      <c r="H1" s="294"/>
      <c r="I1" s="294"/>
      <c r="J1" s="294"/>
      <c r="K1" s="294"/>
      <c r="L1" s="232"/>
      <c r="M1" s="232"/>
      <c r="N1" s="293"/>
      <c r="O1" s="293"/>
      <c r="P1" s="294"/>
      <c r="Q1" s="294"/>
      <c r="R1" s="295"/>
    </row>
    <row r="2" spans="1:18">
      <c r="A2" s="296"/>
      <c r="B2" s="297"/>
      <c r="C2" s="297"/>
      <c r="D2" s="297"/>
      <c r="E2" s="297"/>
      <c r="F2" s="297"/>
      <c r="G2" s="297"/>
      <c r="H2" s="297"/>
      <c r="I2" s="297"/>
      <c r="J2" s="297"/>
      <c r="K2" s="297"/>
      <c r="L2" s="232"/>
      <c r="M2" s="232"/>
      <c r="N2" s="296"/>
      <c r="O2" s="296"/>
      <c r="P2" s="297"/>
      <c r="Q2" s="297"/>
      <c r="R2" s="298"/>
    </row>
    <row r="3" spans="1:18" ht="15.75" thickBot="1">
      <c r="A3" s="299"/>
      <c r="B3" s="300"/>
      <c r="C3" s="300"/>
      <c r="D3" s="300"/>
      <c r="E3" s="300"/>
      <c r="F3" s="300"/>
      <c r="G3" s="300"/>
      <c r="H3" s="300"/>
      <c r="I3" s="300"/>
      <c r="J3" s="300"/>
      <c r="K3" s="300"/>
      <c r="L3" s="232"/>
      <c r="M3" s="232"/>
      <c r="N3" s="299"/>
      <c r="O3" s="299"/>
      <c r="P3" s="300"/>
      <c r="Q3" s="300"/>
      <c r="R3" s="301"/>
    </row>
    <row r="5" spans="1:18" ht="15.75" thickBot="1">
      <c r="O5" s="35" t="s">
        <v>486</v>
      </c>
    </row>
    <row r="6" spans="1:18" ht="15" customHeight="1" thickBot="1">
      <c r="A6" s="220" t="s">
        <v>3</v>
      </c>
      <c r="B6" s="248" t="s">
        <v>321</v>
      </c>
      <c r="C6" s="248" t="s">
        <v>442</v>
      </c>
      <c r="D6" s="248" t="s">
        <v>322</v>
      </c>
      <c r="E6" s="248" t="s">
        <v>6</v>
      </c>
      <c r="F6" s="248" t="s">
        <v>7</v>
      </c>
      <c r="G6" s="28"/>
      <c r="H6" s="32"/>
      <c r="I6" s="290" t="s">
        <v>487</v>
      </c>
      <c r="J6" s="291"/>
      <c r="K6" s="306" t="s">
        <v>488</v>
      </c>
      <c r="L6" s="269"/>
      <c r="M6" s="8"/>
      <c r="N6" s="8" t="s">
        <v>489</v>
      </c>
      <c r="O6" s="302" t="s">
        <v>35</v>
      </c>
      <c r="P6" s="302"/>
      <c r="Q6" s="302"/>
      <c r="R6" s="303"/>
    </row>
    <row r="7" spans="1:18" ht="59.25" customHeight="1" thickBot="1">
      <c r="A7" s="247"/>
      <c r="B7" s="249"/>
      <c r="C7" s="249"/>
      <c r="D7" s="250"/>
      <c r="E7" s="249"/>
      <c r="F7" s="249"/>
      <c r="G7" s="29" t="s">
        <v>490</v>
      </c>
      <c r="H7" s="33" t="s">
        <v>491</v>
      </c>
      <c r="I7" s="34" t="s">
        <v>492</v>
      </c>
      <c r="J7" s="34" t="s">
        <v>493</v>
      </c>
      <c r="K7" s="307"/>
      <c r="L7" s="270"/>
      <c r="M7" s="30"/>
      <c r="N7" s="25" t="s">
        <v>494</v>
      </c>
      <c r="O7" s="304"/>
      <c r="P7" s="304"/>
      <c r="Q7" s="304"/>
      <c r="R7" s="305"/>
    </row>
    <row r="8" spans="1:18" ht="346.5" hidden="1" customHeight="1">
      <c r="A8" s="17">
        <v>1</v>
      </c>
      <c r="B8" s="1">
        <v>500389</v>
      </c>
      <c r="C8" s="16" t="s">
        <v>495</v>
      </c>
      <c r="D8" s="1" t="s">
        <v>377</v>
      </c>
      <c r="E8" s="1" t="s">
        <v>496</v>
      </c>
      <c r="F8" s="1"/>
      <c r="G8" s="1"/>
      <c r="H8" s="1"/>
      <c r="I8" s="1"/>
      <c r="J8" s="1"/>
      <c r="K8" s="1"/>
      <c r="L8" s="23"/>
      <c r="M8" s="23"/>
      <c r="N8" s="2" t="s">
        <v>497</v>
      </c>
      <c r="O8" s="292"/>
      <c r="P8" s="292"/>
      <c r="Q8" s="292"/>
      <c r="R8" s="292"/>
    </row>
    <row r="9" spans="1:18" ht="345.75" hidden="1" customHeight="1">
      <c r="A9" s="17">
        <v>2</v>
      </c>
      <c r="B9" s="1">
        <v>500389</v>
      </c>
      <c r="C9" s="16" t="s">
        <v>495</v>
      </c>
      <c r="D9" s="1" t="s">
        <v>377</v>
      </c>
      <c r="E9" s="1" t="s">
        <v>496</v>
      </c>
      <c r="F9" s="1"/>
      <c r="G9" s="1"/>
      <c r="H9" s="1"/>
      <c r="I9" s="1"/>
      <c r="J9" s="1"/>
      <c r="K9" s="1"/>
      <c r="L9" s="23"/>
      <c r="M9" s="23"/>
      <c r="N9" s="2" t="s">
        <v>497</v>
      </c>
      <c r="O9" s="292"/>
      <c r="P9" s="292"/>
      <c r="Q9" s="292"/>
      <c r="R9" s="292"/>
    </row>
    <row r="10" spans="1:18" ht="116.25" hidden="1" customHeight="1">
      <c r="A10" s="17">
        <v>2</v>
      </c>
      <c r="B10" s="1">
        <v>500389</v>
      </c>
      <c r="C10" s="16" t="s">
        <v>495</v>
      </c>
      <c r="D10" s="1" t="s">
        <v>377</v>
      </c>
      <c r="E10" s="1" t="s">
        <v>496</v>
      </c>
      <c r="F10" s="1"/>
      <c r="G10" s="1"/>
      <c r="H10" s="1"/>
      <c r="I10" s="1"/>
      <c r="J10" s="1"/>
      <c r="K10" s="1"/>
      <c r="L10" s="23"/>
      <c r="M10" s="23"/>
      <c r="N10" s="2" t="s">
        <v>497</v>
      </c>
      <c r="O10" s="292"/>
      <c r="P10" s="292"/>
      <c r="Q10" s="292"/>
      <c r="R10" s="292"/>
    </row>
    <row r="11" spans="1:18" ht="350.25" hidden="1" customHeight="1">
      <c r="A11" s="17">
        <v>3</v>
      </c>
      <c r="B11" s="1">
        <v>500434</v>
      </c>
      <c r="C11" s="5" t="s">
        <v>498</v>
      </c>
      <c r="D11" s="5" t="s">
        <v>499</v>
      </c>
      <c r="E11" s="5" t="s">
        <v>500</v>
      </c>
      <c r="F11" s="5"/>
      <c r="G11" s="5"/>
      <c r="H11" s="5"/>
      <c r="I11" s="5"/>
      <c r="J11" s="5"/>
      <c r="K11" s="5"/>
      <c r="L11" s="23"/>
      <c r="M11" s="23"/>
      <c r="N11" s="2" t="s">
        <v>497</v>
      </c>
      <c r="O11" s="292"/>
      <c r="P11" s="292"/>
      <c r="Q11" s="292"/>
      <c r="R11" s="292"/>
    </row>
    <row r="12" spans="1:18" ht="368.25" hidden="1" customHeight="1">
      <c r="A12" s="17">
        <v>4</v>
      </c>
      <c r="B12" s="1">
        <v>500434</v>
      </c>
      <c r="C12" s="5" t="s">
        <v>498</v>
      </c>
      <c r="D12" s="5" t="s">
        <v>499</v>
      </c>
      <c r="E12" s="5" t="s">
        <v>500</v>
      </c>
      <c r="F12" s="5"/>
      <c r="G12" s="5"/>
      <c r="H12" s="5"/>
      <c r="I12" s="5"/>
      <c r="J12" s="5"/>
      <c r="K12" s="5"/>
      <c r="L12" s="23"/>
      <c r="M12" s="23"/>
      <c r="N12" s="2" t="s">
        <v>497</v>
      </c>
      <c r="O12" s="288"/>
      <c r="P12" s="288"/>
      <c r="Q12" s="288"/>
      <c r="R12" s="288"/>
    </row>
    <row r="13" spans="1:18" ht="213.75" hidden="1" customHeight="1">
      <c r="A13" s="17">
        <v>5</v>
      </c>
      <c r="B13" s="1">
        <v>500434</v>
      </c>
      <c r="C13" s="5" t="s">
        <v>498</v>
      </c>
      <c r="D13" s="5" t="s">
        <v>499</v>
      </c>
      <c r="E13" s="5" t="s">
        <v>500</v>
      </c>
      <c r="F13" s="5"/>
      <c r="G13" s="5"/>
      <c r="H13" s="5"/>
      <c r="I13" s="5"/>
      <c r="J13" s="5"/>
      <c r="K13" s="5"/>
      <c r="L13" s="23"/>
      <c r="M13" s="23"/>
      <c r="N13" s="2" t="s">
        <v>497</v>
      </c>
      <c r="O13" s="284" t="s">
        <v>501</v>
      </c>
      <c r="P13" s="284"/>
      <c r="Q13" s="284"/>
      <c r="R13" s="284"/>
    </row>
    <row r="14" spans="1:18" ht="233.25" hidden="1" customHeight="1">
      <c r="A14" s="17">
        <v>6</v>
      </c>
      <c r="B14" s="1">
        <v>500434</v>
      </c>
      <c r="C14" s="5" t="s">
        <v>498</v>
      </c>
      <c r="D14" s="5" t="s">
        <v>499</v>
      </c>
      <c r="E14" s="5" t="s">
        <v>500</v>
      </c>
      <c r="F14" s="5"/>
      <c r="G14" s="5"/>
      <c r="H14" s="5"/>
      <c r="I14" s="5"/>
      <c r="J14" s="5"/>
      <c r="K14" s="5"/>
      <c r="L14" s="23"/>
      <c r="M14" s="23"/>
      <c r="N14" s="2" t="s">
        <v>497</v>
      </c>
      <c r="O14" s="283"/>
      <c r="P14" s="283"/>
      <c r="Q14" s="283"/>
      <c r="R14" s="283"/>
    </row>
    <row r="15" spans="1:18" ht="209.25" hidden="1" customHeight="1">
      <c r="A15" s="17">
        <v>7</v>
      </c>
      <c r="B15" s="7">
        <v>5900486</v>
      </c>
      <c r="C15" s="13">
        <v>1000483</v>
      </c>
      <c r="D15" s="5" t="s">
        <v>373</v>
      </c>
      <c r="E15" s="5" t="s">
        <v>502</v>
      </c>
      <c r="F15" s="5"/>
      <c r="G15" s="5"/>
      <c r="H15" s="5"/>
      <c r="I15" s="5"/>
      <c r="J15" s="5"/>
      <c r="K15" s="5"/>
      <c r="L15" s="23"/>
      <c r="M15" s="23"/>
      <c r="N15" s="2" t="s">
        <v>497</v>
      </c>
      <c r="O15" s="289"/>
      <c r="P15" s="289"/>
      <c r="Q15" s="289"/>
      <c r="R15" s="289"/>
    </row>
    <row r="16" spans="1:18" ht="284.25" hidden="1" customHeight="1" thickBot="1">
      <c r="A16" s="17">
        <v>8</v>
      </c>
      <c r="B16" s="7">
        <v>5900486</v>
      </c>
      <c r="C16" s="13">
        <v>1000483</v>
      </c>
      <c r="D16" s="5" t="s">
        <v>373</v>
      </c>
      <c r="E16" s="5" t="s">
        <v>502</v>
      </c>
      <c r="F16" s="5"/>
      <c r="G16" s="5"/>
      <c r="H16" s="5"/>
      <c r="I16" s="5"/>
      <c r="J16" s="5"/>
      <c r="K16" s="5"/>
      <c r="L16" s="24"/>
      <c r="M16" s="31"/>
      <c r="N16" s="2" t="s">
        <v>497</v>
      </c>
      <c r="O16" s="279"/>
      <c r="P16" s="280"/>
      <c r="Q16" s="280"/>
      <c r="R16" s="281"/>
    </row>
    <row r="17" spans="1:18" ht="210.75" hidden="1" customHeight="1" thickBot="1">
      <c r="A17" s="17">
        <v>9</v>
      </c>
      <c r="B17" s="7">
        <v>5900486</v>
      </c>
      <c r="C17" s="13">
        <v>1000483</v>
      </c>
      <c r="D17" s="5" t="s">
        <v>373</v>
      </c>
      <c r="E17" s="5" t="s">
        <v>502</v>
      </c>
      <c r="F17" s="5"/>
      <c r="G17" s="5"/>
      <c r="H17" s="5"/>
      <c r="I17" s="5"/>
      <c r="J17" s="5"/>
      <c r="K17" s="5"/>
      <c r="L17" s="24"/>
      <c r="M17" s="31"/>
      <c r="N17" s="2" t="s">
        <v>497</v>
      </c>
      <c r="O17" s="279"/>
      <c r="P17" s="280"/>
      <c r="Q17" s="280"/>
      <c r="R17" s="281"/>
    </row>
    <row r="18" spans="1:18" ht="408.75" hidden="1" customHeight="1" thickBot="1">
      <c r="A18" s="17">
        <v>10</v>
      </c>
      <c r="B18" s="7">
        <v>5900486</v>
      </c>
      <c r="C18" s="13">
        <v>1000483</v>
      </c>
      <c r="D18" s="5" t="s">
        <v>373</v>
      </c>
      <c r="E18" s="5" t="s">
        <v>502</v>
      </c>
      <c r="F18" s="5"/>
      <c r="G18" s="5"/>
      <c r="H18" s="5"/>
      <c r="I18" s="5"/>
      <c r="J18" s="5"/>
      <c r="K18" s="5"/>
      <c r="L18" s="24"/>
      <c r="M18" s="31"/>
      <c r="N18" s="2" t="s">
        <v>497</v>
      </c>
      <c r="O18" s="279"/>
      <c r="P18" s="280"/>
      <c r="Q18" s="280"/>
      <c r="R18" s="281"/>
    </row>
    <row r="19" spans="1:18" ht="221.25" hidden="1" customHeight="1" thickBot="1">
      <c r="A19" s="18">
        <v>11</v>
      </c>
      <c r="B19" s="7">
        <v>5900486</v>
      </c>
      <c r="C19" s="13">
        <v>1000483</v>
      </c>
      <c r="D19" s="5" t="s">
        <v>373</v>
      </c>
      <c r="E19" s="5" t="s">
        <v>502</v>
      </c>
      <c r="F19" s="5"/>
      <c r="G19" s="5"/>
      <c r="H19" s="5"/>
      <c r="I19" s="5"/>
      <c r="J19" s="5"/>
      <c r="K19" s="5"/>
      <c r="L19" s="24"/>
      <c r="M19" s="31"/>
      <c r="N19" s="2" t="s">
        <v>497</v>
      </c>
      <c r="O19" s="279"/>
      <c r="P19" s="280"/>
      <c r="Q19" s="280"/>
      <c r="R19" s="281"/>
    </row>
    <row r="20" spans="1:18" ht="189.75" hidden="1" customHeight="1" thickBot="1">
      <c r="A20" s="17">
        <v>12</v>
      </c>
      <c r="B20" s="7">
        <v>5900486</v>
      </c>
      <c r="C20" s="13">
        <v>1000483</v>
      </c>
      <c r="D20" s="5" t="s">
        <v>373</v>
      </c>
      <c r="E20" s="5" t="s">
        <v>502</v>
      </c>
      <c r="F20" s="5"/>
      <c r="G20" s="5"/>
      <c r="H20" s="5"/>
      <c r="I20" s="5"/>
      <c r="J20" s="5"/>
      <c r="K20" s="5"/>
      <c r="L20" s="24"/>
      <c r="M20" s="31"/>
      <c r="N20" s="2" t="s">
        <v>497</v>
      </c>
      <c r="O20" s="285"/>
      <c r="P20" s="286"/>
      <c r="Q20" s="286"/>
      <c r="R20" s="287"/>
    </row>
    <row r="21" spans="1:18" ht="220.5" hidden="1" customHeight="1" thickBot="1">
      <c r="A21" s="19">
        <v>11</v>
      </c>
      <c r="B21" s="14">
        <v>5900366</v>
      </c>
      <c r="C21" s="13" t="s">
        <v>503</v>
      </c>
      <c r="D21" s="13" t="s">
        <v>504</v>
      </c>
      <c r="E21" s="15" t="s">
        <v>505</v>
      </c>
      <c r="F21" s="15"/>
      <c r="G21" s="15"/>
      <c r="H21" s="15"/>
      <c r="I21" s="15"/>
      <c r="J21" s="15"/>
      <c r="K21" s="15"/>
      <c r="L21" s="24"/>
      <c r="M21" s="31"/>
      <c r="N21" s="2" t="s">
        <v>497</v>
      </c>
      <c r="O21" s="284"/>
      <c r="P21" s="284"/>
      <c r="Q21" s="284"/>
      <c r="R21" s="284"/>
    </row>
    <row r="22" spans="1:18" ht="142.5" hidden="1" customHeight="1" thickBot="1">
      <c r="A22" s="17">
        <v>12</v>
      </c>
      <c r="B22" s="14">
        <v>5900366</v>
      </c>
      <c r="C22" s="13" t="s">
        <v>503</v>
      </c>
      <c r="D22" s="13" t="s">
        <v>504</v>
      </c>
      <c r="E22" s="15" t="s">
        <v>505</v>
      </c>
      <c r="F22" s="15"/>
      <c r="G22" s="15"/>
      <c r="H22" s="15"/>
      <c r="I22" s="15"/>
      <c r="J22" s="15"/>
      <c r="K22" s="15"/>
      <c r="L22" s="24"/>
      <c r="M22" s="31"/>
      <c r="N22" s="2" t="s">
        <v>497</v>
      </c>
      <c r="O22" s="279"/>
      <c r="P22" s="280"/>
      <c r="Q22" s="280"/>
      <c r="R22" s="281"/>
    </row>
    <row r="23" spans="1:18" ht="205.5" hidden="1" customHeight="1" thickBot="1">
      <c r="A23" s="17">
        <v>13</v>
      </c>
      <c r="B23" s="14">
        <v>5900366</v>
      </c>
      <c r="C23" s="13" t="s">
        <v>503</v>
      </c>
      <c r="D23" s="13" t="s">
        <v>504</v>
      </c>
      <c r="E23" s="15" t="s">
        <v>505</v>
      </c>
      <c r="F23" s="15"/>
      <c r="G23" s="15"/>
      <c r="H23" s="15"/>
      <c r="I23" s="15"/>
      <c r="J23" s="15"/>
      <c r="K23" s="15"/>
      <c r="L23" s="24"/>
      <c r="M23" s="31"/>
      <c r="N23" s="2" t="s">
        <v>497</v>
      </c>
      <c r="O23" s="279"/>
      <c r="P23" s="280"/>
      <c r="Q23" s="280"/>
      <c r="R23" s="281"/>
    </row>
    <row r="24" spans="1:18" ht="129.75" hidden="1" customHeight="1" thickBot="1">
      <c r="A24" s="17">
        <v>14</v>
      </c>
      <c r="B24" s="6">
        <v>5900366</v>
      </c>
      <c r="C24" s="13" t="s">
        <v>503</v>
      </c>
      <c r="D24" s="13" t="s">
        <v>504</v>
      </c>
      <c r="E24" s="15" t="s">
        <v>505</v>
      </c>
      <c r="F24" s="15"/>
      <c r="G24" s="15"/>
      <c r="H24" s="15"/>
      <c r="I24" s="15"/>
      <c r="J24" s="15"/>
      <c r="K24" s="15"/>
      <c r="L24" s="24"/>
      <c r="M24" s="31"/>
      <c r="N24" s="2" t="s">
        <v>497</v>
      </c>
      <c r="O24" s="284"/>
      <c r="P24" s="284"/>
      <c r="Q24" s="284"/>
      <c r="R24" s="284"/>
    </row>
    <row r="25" spans="1:18" ht="178.5" hidden="1" customHeight="1" thickBot="1">
      <c r="A25" s="17">
        <v>15</v>
      </c>
      <c r="B25" s="1">
        <v>5900366</v>
      </c>
      <c r="C25" s="2" t="s">
        <v>503</v>
      </c>
      <c r="D25" s="2" t="s">
        <v>504</v>
      </c>
      <c r="E25" s="20" t="s">
        <v>505</v>
      </c>
      <c r="F25" s="20"/>
      <c r="G25" s="20"/>
      <c r="H25" s="20"/>
      <c r="I25" s="20"/>
      <c r="J25" s="20"/>
      <c r="K25" s="20"/>
      <c r="L25" s="24"/>
      <c r="M25" s="31"/>
      <c r="N25" s="2" t="s">
        <v>497</v>
      </c>
      <c r="O25" s="10"/>
      <c r="P25" s="11"/>
      <c r="Q25" s="11"/>
      <c r="R25" s="12"/>
    </row>
    <row r="26" spans="1:18" ht="152.25" hidden="1" customHeight="1" thickBot="1">
      <c r="A26" s="17">
        <v>16</v>
      </c>
      <c r="B26" s="1">
        <v>5900366</v>
      </c>
      <c r="C26" s="2" t="s">
        <v>503</v>
      </c>
      <c r="D26" s="2" t="s">
        <v>504</v>
      </c>
      <c r="E26" s="20" t="s">
        <v>505</v>
      </c>
      <c r="F26" s="20"/>
      <c r="G26" s="20"/>
      <c r="H26" s="20"/>
      <c r="I26" s="20"/>
      <c r="J26" s="20"/>
      <c r="K26" s="20"/>
      <c r="L26" s="24"/>
      <c r="M26" s="31"/>
      <c r="N26" s="2" t="s">
        <v>497</v>
      </c>
      <c r="O26" s="10"/>
      <c r="P26" s="11"/>
      <c r="Q26" s="11"/>
      <c r="R26" s="12"/>
    </row>
    <row r="27" spans="1:18" ht="257.25" hidden="1" customHeight="1" thickBot="1">
      <c r="A27" s="17">
        <v>17</v>
      </c>
      <c r="B27" s="1">
        <v>5900366</v>
      </c>
      <c r="C27" s="2" t="s">
        <v>503</v>
      </c>
      <c r="D27" s="2" t="s">
        <v>504</v>
      </c>
      <c r="E27" s="20" t="s">
        <v>505</v>
      </c>
      <c r="F27" s="20"/>
      <c r="G27" s="20"/>
      <c r="H27" s="20"/>
      <c r="I27" s="20"/>
      <c r="J27" s="20"/>
      <c r="K27" s="20"/>
      <c r="L27" s="24"/>
      <c r="M27" s="31"/>
      <c r="N27" s="2" t="s">
        <v>497</v>
      </c>
      <c r="O27" s="279"/>
      <c r="P27" s="280"/>
      <c r="Q27" s="280"/>
      <c r="R27" s="281"/>
    </row>
    <row r="28" spans="1:18" ht="300" hidden="1" customHeight="1" thickBot="1">
      <c r="A28" s="17">
        <v>18</v>
      </c>
      <c r="B28" s="1">
        <v>5900366</v>
      </c>
      <c r="C28" s="2" t="s">
        <v>503</v>
      </c>
      <c r="D28" s="2" t="s">
        <v>504</v>
      </c>
      <c r="E28" s="20" t="s">
        <v>505</v>
      </c>
      <c r="F28" s="20"/>
      <c r="G28" s="20"/>
      <c r="H28" s="20"/>
      <c r="I28" s="20"/>
      <c r="J28" s="20"/>
      <c r="K28" s="20"/>
      <c r="L28" s="24"/>
      <c r="M28" s="31"/>
      <c r="N28" s="2" t="s">
        <v>497</v>
      </c>
      <c r="O28" s="279"/>
      <c r="P28" s="280"/>
      <c r="Q28" s="280"/>
      <c r="R28" s="281"/>
    </row>
    <row r="29" spans="1:18" ht="250.5" hidden="1" customHeight="1" thickBot="1">
      <c r="A29" s="17">
        <v>19</v>
      </c>
      <c r="B29" s="1">
        <v>5900366</v>
      </c>
      <c r="C29" s="2" t="s">
        <v>503</v>
      </c>
      <c r="D29" s="2" t="s">
        <v>504</v>
      </c>
      <c r="E29" s="20" t="s">
        <v>505</v>
      </c>
      <c r="F29" s="20"/>
      <c r="G29" s="20"/>
      <c r="H29" s="20"/>
      <c r="I29" s="20"/>
      <c r="J29" s="20"/>
      <c r="K29" s="20"/>
      <c r="L29" s="24"/>
      <c r="M29" s="31"/>
      <c r="N29" s="2" t="s">
        <v>497</v>
      </c>
      <c r="O29" s="279"/>
      <c r="P29" s="280"/>
      <c r="Q29" s="280"/>
      <c r="R29" s="281"/>
    </row>
    <row r="30" spans="1:18" ht="145.5" hidden="1" customHeight="1" thickBot="1">
      <c r="A30" s="17">
        <v>20</v>
      </c>
      <c r="B30" s="1">
        <v>5900366</v>
      </c>
      <c r="C30" s="2" t="s">
        <v>503</v>
      </c>
      <c r="D30" s="2" t="s">
        <v>504</v>
      </c>
      <c r="E30" s="20" t="s">
        <v>505</v>
      </c>
      <c r="F30" s="20"/>
      <c r="G30" s="20"/>
      <c r="H30" s="20"/>
      <c r="I30" s="20"/>
      <c r="J30" s="20"/>
      <c r="K30" s="20"/>
      <c r="L30" s="24"/>
      <c r="M30" s="31"/>
      <c r="N30" s="2" t="s">
        <v>497</v>
      </c>
      <c r="O30" s="279"/>
      <c r="P30" s="280"/>
      <c r="Q30" s="280"/>
      <c r="R30" s="281"/>
    </row>
    <row r="31" spans="1:18" ht="213.75" hidden="1" customHeight="1" thickBot="1">
      <c r="A31" s="17">
        <v>21</v>
      </c>
      <c r="B31" s="1">
        <v>500434</v>
      </c>
      <c r="C31" s="5" t="s">
        <v>498</v>
      </c>
      <c r="D31" s="5" t="s">
        <v>499</v>
      </c>
      <c r="E31" s="5" t="s">
        <v>500</v>
      </c>
      <c r="F31" s="5"/>
      <c r="G31" s="5"/>
      <c r="H31" s="5"/>
      <c r="I31" s="5"/>
      <c r="J31" s="5"/>
      <c r="K31" s="5"/>
      <c r="L31" s="24"/>
      <c r="M31" s="31"/>
      <c r="N31" s="2" t="s">
        <v>497</v>
      </c>
      <c r="O31" s="288"/>
      <c r="P31" s="288"/>
      <c r="Q31" s="288"/>
      <c r="R31" s="288"/>
    </row>
    <row r="32" spans="1:18" ht="383.25" hidden="1" customHeight="1" thickBot="1">
      <c r="A32" s="17">
        <v>22</v>
      </c>
      <c r="B32" s="7">
        <v>500434</v>
      </c>
      <c r="C32" s="21" t="s">
        <v>498</v>
      </c>
      <c r="D32" s="21" t="s">
        <v>499</v>
      </c>
      <c r="E32" s="21" t="s">
        <v>500</v>
      </c>
      <c r="F32" s="21"/>
      <c r="G32" s="21"/>
      <c r="H32" s="21"/>
      <c r="I32" s="21"/>
      <c r="J32" s="21"/>
      <c r="K32" s="21"/>
      <c r="L32" s="24"/>
      <c r="M32" s="31"/>
      <c r="N32" s="2" t="s">
        <v>497</v>
      </c>
      <c r="O32" s="283"/>
      <c r="P32" s="283"/>
      <c r="Q32" s="283"/>
      <c r="R32" s="283"/>
    </row>
    <row r="33" spans="1:18" ht="255" hidden="1" customHeight="1" thickBot="1">
      <c r="A33" s="19">
        <v>23</v>
      </c>
      <c r="B33" s="1">
        <v>5900366</v>
      </c>
      <c r="C33" s="2" t="s">
        <v>503</v>
      </c>
      <c r="D33" s="2" t="s">
        <v>504</v>
      </c>
      <c r="E33" s="20" t="s">
        <v>505</v>
      </c>
      <c r="F33" s="20"/>
      <c r="G33" s="20"/>
      <c r="H33" s="20"/>
      <c r="I33" s="20"/>
      <c r="J33" s="20"/>
      <c r="K33" s="20"/>
      <c r="L33" s="24"/>
      <c r="M33" s="31"/>
      <c r="N33" s="2" t="s">
        <v>497</v>
      </c>
      <c r="O33" s="282"/>
      <c r="P33" s="282"/>
      <c r="Q33" s="282"/>
      <c r="R33" s="282"/>
    </row>
    <row r="34" spans="1:18" ht="64.5" customHeight="1">
      <c r="A34" s="4">
        <v>1</v>
      </c>
      <c r="B34" s="1">
        <v>5900596</v>
      </c>
      <c r="C34" s="2" t="s">
        <v>506</v>
      </c>
      <c r="D34" s="9" t="s">
        <v>338</v>
      </c>
      <c r="E34" s="20" t="s">
        <v>37</v>
      </c>
      <c r="F34" s="20" t="s">
        <v>507</v>
      </c>
      <c r="G34" s="20" t="s">
        <v>508</v>
      </c>
      <c r="H34" s="20" t="s">
        <v>508</v>
      </c>
      <c r="I34" s="20" t="s">
        <v>509</v>
      </c>
      <c r="J34" s="20" t="s">
        <v>510</v>
      </c>
      <c r="K34" s="5" t="s">
        <v>511</v>
      </c>
      <c r="L34" s="22"/>
      <c r="M34" s="22"/>
      <c r="N34" s="5" t="s">
        <v>512</v>
      </c>
      <c r="O34" s="288" t="s">
        <v>513</v>
      </c>
      <c r="P34" s="288"/>
      <c r="Q34" s="288"/>
      <c r="R34" s="288"/>
    </row>
    <row r="35" spans="1:18" ht="64.5" customHeight="1">
      <c r="A35" s="4">
        <v>2</v>
      </c>
      <c r="B35" s="1">
        <v>5900643</v>
      </c>
      <c r="C35" s="26" t="s">
        <v>514</v>
      </c>
      <c r="D35" s="9" t="s">
        <v>351</v>
      </c>
      <c r="E35" s="20" t="s">
        <v>515</v>
      </c>
      <c r="F35" s="20" t="s">
        <v>352</v>
      </c>
      <c r="G35" s="20" t="s">
        <v>516</v>
      </c>
      <c r="H35" s="20" t="s">
        <v>517</v>
      </c>
      <c r="I35" s="20" t="s">
        <v>518</v>
      </c>
      <c r="J35" s="5" t="s">
        <v>519</v>
      </c>
      <c r="K35" s="5" t="s">
        <v>511</v>
      </c>
      <c r="L35" s="22"/>
      <c r="M35" s="22"/>
      <c r="N35" s="5" t="s">
        <v>512</v>
      </c>
      <c r="O35" s="282"/>
      <c r="P35" s="282"/>
      <c r="Q35" s="282"/>
      <c r="R35" s="282"/>
    </row>
    <row r="36" spans="1:18" ht="64.5" customHeight="1">
      <c r="A36" s="4">
        <v>3</v>
      </c>
      <c r="B36" s="1">
        <v>5900726</v>
      </c>
      <c r="C36" s="2">
        <v>4900005966</v>
      </c>
      <c r="D36" s="9" t="s">
        <v>353</v>
      </c>
      <c r="E36" s="20" t="s">
        <v>520</v>
      </c>
      <c r="F36" s="20" t="s">
        <v>352</v>
      </c>
      <c r="G36" s="20" t="s">
        <v>521</v>
      </c>
      <c r="H36" s="20" t="s">
        <v>517</v>
      </c>
      <c r="I36" s="20" t="s">
        <v>522</v>
      </c>
      <c r="J36" s="5" t="s">
        <v>519</v>
      </c>
      <c r="K36" s="5" t="s">
        <v>511</v>
      </c>
      <c r="L36" s="22"/>
      <c r="M36" s="22"/>
      <c r="N36" s="5" t="s">
        <v>512</v>
      </c>
      <c r="O36" s="282"/>
      <c r="P36" s="282"/>
      <c r="Q36" s="282"/>
      <c r="R36" s="282"/>
    </row>
    <row r="37" spans="1:18" ht="64.5" customHeight="1">
      <c r="A37" s="4">
        <v>4</v>
      </c>
      <c r="B37" s="1">
        <v>5900635</v>
      </c>
      <c r="C37" s="2">
        <v>58501</v>
      </c>
      <c r="D37" s="9" t="s">
        <v>346</v>
      </c>
      <c r="E37" s="20" t="s">
        <v>37</v>
      </c>
      <c r="F37" s="20" t="s">
        <v>49</v>
      </c>
      <c r="G37" s="20" t="s">
        <v>523</v>
      </c>
      <c r="H37" s="20" t="s">
        <v>517</v>
      </c>
      <c r="I37" s="20" t="s">
        <v>524</v>
      </c>
      <c r="J37" s="5" t="s">
        <v>519</v>
      </c>
      <c r="K37" s="5" t="s">
        <v>511</v>
      </c>
      <c r="L37" s="27"/>
      <c r="M37" s="27"/>
      <c r="N37" s="5" t="s">
        <v>512</v>
      </c>
      <c r="O37" s="288"/>
      <c r="P37" s="288"/>
      <c r="Q37" s="288"/>
      <c r="R37" s="288"/>
    </row>
    <row r="38" spans="1:18" ht="64.5" customHeight="1">
      <c r="A38" s="4">
        <v>5</v>
      </c>
      <c r="B38" s="1">
        <v>5900604</v>
      </c>
      <c r="C38" s="2">
        <v>4700016843</v>
      </c>
      <c r="D38" s="9" t="s">
        <v>325</v>
      </c>
      <c r="E38" s="20" t="s">
        <v>122</v>
      </c>
      <c r="F38" s="20" t="s">
        <v>334</v>
      </c>
      <c r="G38" s="20" t="s">
        <v>523</v>
      </c>
      <c r="H38" s="20" t="s">
        <v>517</v>
      </c>
      <c r="I38" s="20" t="s">
        <v>525</v>
      </c>
      <c r="J38" s="20" t="s">
        <v>526</v>
      </c>
      <c r="K38" s="5" t="s">
        <v>511</v>
      </c>
      <c r="L38" s="3"/>
      <c r="M38" s="3"/>
      <c r="N38" s="5" t="s">
        <v>512</v>
      </c>
      <c r="O38" s="288" t="s">
        <v>527</v>
      </c>
      <c r="P38" s="288"/>
      <c r="Q38" s="288"/>
      <c r="R38" s="288"/>
    </row>
    <row r="39" spans="1:18" ht="64.5" customHeight="1">
      <c r="A39" s="4">
        <v>6</v>
      </c>
      <c r="B39" s="1">
        <v>5900647</v>
      </c>
      <c r="C39" s="5" t="s">
        <v>528</v>
      </c>
      <c r="D39" s="9" t="s">
        <v>341</v>
      </c>
      <c r="E39" s="20" t="s">
        <v>147</v>
      </c>
      <c r="F39" s="20" t="s">
        <v>38</v>
      </c>
      <c r="G39" s="20" t="s">
        <v>529</v>
      </c>
      <c r="H39" s="20" t="s">
        <v>530</v>
      </c>
      <c r="I39" s="20" t="s">
        <v>531</v>
      </c>
      <c r="J39" s="20" t="s">
        <v>532</v>
      </c>
      <c r="K39" s="5" t="s">
        <v>533</v>
      </c>
      <c r="L39" s="3"/>
      <c r="M39" s="3"/>
      <c r="N39" s="5" t="s">
        <v>534</v>
      </c>
      <c r="O39" s="288" t="s">
        <v>535</v>
      </c>
      <c r="P39" s="288"/>
      <c r="Q39" s="288"/>
      <c r="R39" s="288"/>
    </row>
    <row r="40" spans="1:18" ht="64.5" customHeight="1">
      <c r="A40" s="4">
        <v>7</v>
      </c>
      <c r="B40" s="1">
        <v>5900688</v>
      </c>
      <c r="C40" s="2" t="s">
        <v>536</v>
      </c>
      <c r="D40" s="9" t="s">
        <v>340</v>
      </c>
      <c r="E40" s="20" t="s">
        <v>122</v>
      </c>
      <c r="F40" s="20" t="s">
        <v>38</v>
      </c>
      <c r="G40" s="20" t="s">
        <v>537</v>
      </c>
      <c r="H40" s="20" t="s">
        <v>530</v>
      </c>
      <c r="I40" s="20" t="s">
        <v>526</v>
      </c>
      <c r="J40" s="20" t="s">
        <v>532</v>
      </c>
      <c r="K40" s="5" t="s">
        <v>533</v>
      </c>
      <c r="L40" s="3"/>
      <c r="M40" s="3"/>
      <c r="N40" s="5" t="s">
        <v>534</v>
      </c>
      <c r="O40" s="288" t="s">
        <v>535</v>
      </c>
      <c r="P40" s="288"/>
      <c r="Q40" s="288"/>
      <c r="R40" s="288"/>
    </row>
    <row r="41" spans="1:18" ht="64.5" customHeight="1">
      <c r="A41" s="4">
        <v>8</v>
      </c>
      <c r="B41" s="1">
        <v>5900712</v>
      </c>
      <c r="C41" s="2" t="s">
        <v>538</v>
      </c>
      <c r="D41" s="9" t="s">
        <v>335</v>
      </c>
      <c r="E41" s="20" t="s">
        <v>463</v>
      </c>
      <c r="F41" s="20" t="s">
        <v>334</v>
      </c>
      <c r="G41" s="20" t="s">
        <v>539</v>
      </c>
      <c r="H41" s="20" t="s">
        <v>540</v>
      </c>
      <c r="I41" s="20" t="s">
        <v>526</v>
      </c>
      <c r="J41" s="20" t="s">
        <v>531</v>
      </c>
      <c r="K41" s="5" t="s">
        <v>511</v>
      </c>
      <c r="L41" s="3"/>
      <c r="M41" s="3"/>
      <c r="N41" s="5" t="s">
        <v>512</v>
      </c>
      <c r="O41" s="288"/>
      <c r="P41" s="288"/>
      <c r="Q41" s="288"/>
      <c r="R41" s="288"/>
    </row>
    <row r="42" spans="1:18" ht="93.95" customHeight="1">
      <c r="A42" s="4">
        <v>9</v>
      </c>
      <c r="B42" s="1">
        <v>5900570</v>
      </c>
      <c r="C42" s="2" t="s">
        <v>541</v>
      </c>
      <c r="D42" s="9" t="s">
        <v>337</v>
      </c>
      <c r="E42" s="20" t="s">
        <v>463</v>
      </c>
      <c r="F42" s="20" t="s">
        <v>49</v>
      </c>
      <c r="G42" s="20" t="s">
        <v>542</v>
      </c>
      <c r="H42" s="20" t="s">
        <v>543</v>
      </c>
      <c r="I42" s="20" t="s">
        <v>544</v>
      </c>
      <c r="J42" s="5" t="s">
        <v>519</v>
      </c>
      <c r="K42" s="5" t="s">
        <v>511</v>
      </c>
      <c r="L42" s="3"/>
      <c r="M42" s="3"/>
      <c r="N42" s="5" t="s">
        <v>512</v>
      </c>
      <c r="O42" s="288" t="s">
        <v>545</v>
      </c>
      <c r="P42" s="288"/>
      <c r="Q42" s="288"/>
      <c r="R42" s="288"/>
    </row>
    <row r="43" spans="1:18" ht="64.5" customHeight="1">
      <c r="A43" s="4">
        <v>10</v>
      </c>
      <c r="B43" s="1">
        <v>5900590</v>
      </c>
      <c r="C43" s="2">
        <v>508209</v>
      </c>
      <c r="D43" s="9" t="s">
        <v>348</v>
      </c>
      <c r="E43" s="20" t="s">
        <v>37</v>
      </c>
      <c r="F43" s="20" t="s">
        <v>49</v>
      </c>
      <c r="G43" s="20" t="s">
        <v>546</v>
      </c>
      <c r="H43" s="20" t="s">
        <v>547</v>
      </c>
      <c r="I43" s="20" t="s">
        <v>548</v>
      </c>
      <c r="J43" s="20" t="s">
        <v>531</v>
      </c>
      <c r="K43" s="5" t="s">
        <v>511</v>
      </c>
      <c r="L43" s="27"/>
      <c r="M43" s="27"/>
      <c r="N43" s="5" t="s">
        <v>512</v>
      </c>
      <c r="O43" s="288" t="s">
        <v>549</v>
      </c>
      <c r="P43" s="288"/>
      <c r="Q43" s="288"/>
      <c r="R43" s="288"/>
    </row>
    <row r="44" spans="1:18" ht="64.5" customHeight="1">
      <c r="A44" s="4">
        <v>11</v>
      </c>
      <c r="B44" s="1">
        <v>5900590</v>
      </c>
      <c r="C44" s="2">
        <v>5337</v>
      </c>
      <c r="D44" s="9" t="s">
        <v>329</v>
      </c>
      <c r="E44" s="20" t="s">
        <v>37</v>
      </c>
      <c r="F44" s="20" t="s">
        <v>334</v>
      </c>
      <c r="G44" s="20" t="s">
        <v>550</v>
      </c>
      <c r="H44" s="20" t="s">
        <v>517</v>
      </c>
      <c r="I44" s="20" t="s">
        <v>551</v>
      </c>
      <c r="J44" s="20" t="s">
        <v>552</v>
      </c>
      <c r="K44" s="5" t="s">
        <v>533</v>
      </c>
      <c r="L44" s="3"/>
      <c r="M44" s="3"/>
      <c r="N44" s="5" t="s">
        <v>512</v>
      </c>
      <c r="O44" s="288"/>
      <c r="P44" s="288"/>
      <c r="Q44" s="288"/>
      <c r="R44" s="288"/>
    </row>
    <row r="45" spans="1:18" ht="64.5" customHeight="1">
      <c r="A45" s="3"/>
      <c r="B45" s="3"/>
      <c r="C45" s="2"/>
      <c r="D45" s="3"/>
      <c r="E45" s="3"/>
      <c r="F45" s="3"/>
      <c r="G45" s="3"/>
      <c r="H45" s="3"/>
      <c r="I45" s="3"/>
      <c r="J45" s="3"/>
      <c r="K45" s="3"/>
      <c r="L45" s="3"/>
      <c r="M45" s="3"/>
      <c r="N45" s="3"/>
      <c r="O45" s="288"/>
      <c r="P45" s="288"/>
      <c r="Q45" s="288"/>
      <c r="R45" s="288"/>
    </row>
  </sheetData>
  <autoFilter ref="A7:R37" xr:uid="{DF0E9163-6E5E-4EAA-80E0-3917ECB3F307}">
    <filterColumn colId="13" showButton="0">
      <filters>
        <filter val="OPEN"/>
      </filters>
    </filterColumn>
    <filterColumn colId="14" showButton="0"/>
    <filterColumn colId="15" showButton="0"/>
    <filterColumn colId="16" showButton="0"/>
  </autoFilter>
  <mergeCells count="47">
    <mergeCell ref="O8:R8"/>
    <mergeCell ref="O11:R11"/>
    <mergeCell ref="A1:R3"/>
    <mergeCell ref="O37:R37"/>
    <mergeCell ref="O36:R36"/>
    <mergeCell ref="O35:R35"/>
    <mergeCell ref="O9:R9"/>
    <mergeCell ref="O10:R10"/>
    <mergeCell ref="O34:R34"/>
    <mergeCell ref="O30:R30"/>
    <mergeCell ref="O29:R29"/>
    <mergeCell ref="O27:R27"/>
    <mergeCell ref="O28:R28"/>
    <mergeCell ref="O6:R7"/>
    <mergeCell ref="K6:K7"/>
    <mergeCell ref="C6:C7"/>
    <mergeCell ref="B6:B7"/>
    <mergeCell ref="A6:A7"/>
    <mergeCell ref="D6:D7"/>
    <mergeCell ref="E6:E7"/>
    <mergeCell ref="L6:L7"/>
    <mergeCell ref="F6:F7"/>
    <mergeCell ref="I6:J6"/>
    <mergeCell ref="O15:R15"/>
    <mergeCell ref="O14:R14"/>
    <mergeCell ref="O13:R13"/>
    <mergeCell ref="O12:R12"/>
    <mergeCell ref="O16:R16"/>
    <mergeCell ref="O41:R41"/>
    <mergeCell ref="O42:R42"/>
    <mergeCell ref="O43:R43"/>
    <mergeCell ref="O44:R44"/>
    <mergeCell ref="O45:R45"/>
    <mergeCell ref="O38:R38"/>
    <mergeCell ref="O39:R39"/>
    <mergeCell ref="O40:R40"/>
    <mergeCell ref="O24:R24"/>
    <mergeCell ref="O31:R31"/>
    <mergeCell ref="O22:R22"/>
    <mergeCell ref="O18:R18"/>
    <mergeCell ref="O17:R17"/>
    <mergeCell ref="O33:R33"/>
    <mergeCell ref="O23:R23"/>
    <mergeCell ref="O32:R32"/>
    <mergeCell ref="O21:R21"/>
    <mergeCell ref="O20:R20"/>
    <mergeCell ref="O19:R19"/>
  </mergeCells>
  <phoneticPr fontId="6" type="noConversion"/>
  <pageMargins left="0.7" right="0.7" top="0.75" bottom="0.75" header="0.3" footer="0.3"/>
  <pageSetup paperSize="9" scale="23" orientation="portrait" verticalDpi="0" r:id="rId1"/>
  <rowBreaks count="1" manualBreakCount="1">
    <brk id="10" max="5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476C6-57F6-4389-9DF7-1C604ABD3E9A}">
  <sheetPr codeName="Sheet6"/>
  <dimension ref="J7:S38"/>
  <sheetViews>
    <sheetView topLeftCell="F11" workbookViewId="0">
      <selection activeCell="L12" sqref="L12"/>
    </sheetView>
  </sheetViews>
  <sheetFormatPr defaultRowHeight="15"/>
  <cols>
    <col min="10" max="10" width="15.42578125" customWidth="1"/>
    <col min="11" max="11" width="21.5703125" customWidth="1"/>
    <col min="12" max="12" width="33.85546875" customWidth="1"/>
    <col min="13" max="13" width="23.42578125" customWidth="1"/>
    <col min="14" max="14" width="17.42578125" customWidth="1"/>
    <col min="15" max="15" width="12.85546875" customWidth="1"/>
    <col min="16" max="17" width="12.140625" customWidth="1"/>
    <col min="18" max="18" width="14.42578125" customWidth="1"/>
  </cols>
  <sheetData>
    <row r="7" spans="10:19" ht="48.95" customHeight="1">
      <c r="J7" s="330" t="s">
        <v>553</v>
      </c>
      <c r="K7" s="330"/>
      <c r="L7" s="330"/>
      <c r="M7" s="330"/>
      <c r="N7" s="330"/>
      <c r="O7" s="330"/>
      <c r="P7" s="330"/>
      <c r="Q7" s="330"/>
      <c r="R7" s="330"/>
    </row>
    <row r="8" spans="10:19" ht="32.450000000000003" customHeight="1" thickBot="1">
      <c r="J8" s="308" t="s">
        <v>554</v>
      </c>
      <c r="K8" s="310" t="s">
        <v>555</v>
      </c>
      <c r="L8" s="312" t="s">
        <v>556</v>
      </c>
      <c r="M8" s="312" t="s">
        <v>557</v>
      </c>
      <c r="N8" s="314" t="s">
        <v>489</v>
      </c>
      <c r="O8" s="315"/>
      <c r="P8" s="315"/>
      <c r="Q8" s="316"/>
      <c r="R8" s="36" t="s">
        <v>558</v>
      </c>
      <c r="S8" s="38"/>
    </row>
    <row r="9" spans="10:19" ht="14.45" customHeight="1">
      <c r="J9" s="308"/>
      <c r="K9" s="310"/>
      <c r="L9" s="312"/>
      <c r="M9" s="312"/>
      <c r="N9" s="317" t="s">
        <v>559</v>
      </c>
      <c r="O9" s="317" t="s">
        <v>560</v>
      </c>
      <c r="P9" s="317" t="s">
        <v>561</v>
      </c>
      <c r="Q9" s="317" t="s">
        <v>562</v>
      </c>
      <c r="R9" s="36"/>
      <c r="S9" s="38"/>
    </row>
    <row r="10" spans="10:19" ht="26.25" thickBot="1">
      <c r="J10" s="309"/>
      <c r="K10" s="311"/>
      <c r="L10" s="313"/>
      <c r="M10" s="313"/>
      <c r="N10" s="318"/>
      <c r="O10" s="318"/>
      <c r="P10" s="318"/>
      <c r="Q10" s="318"/>
      <c r="R10" s="37" t="s">
        <v>563</v>
      </c>
      <c r="S10" s="38"/>
    </row>
    <row r="11" spans="10:19" ht="102.6" customHeight="1" thickBot="1">
      <c r="J11" s="39">
        <v>1</v>
      </c>
      <c r="K11" s="40" t="s">
        <v>564</v>
      </c>
      <c r="L11" s="41" t="s">
        <v>565</v>
      </c>
      <c r="M11" s="42" t="s">
        <v>566</v>
      </c>
      <c r="N11" s="43"/>
      <c r="O11" s="43" t="s">
        <v>567</v>
      </c>
      <c r="P11" s="43"/>
      <c r="Q11" s="43"/>
      <c r="R11" s="43"/>
      <c r="S11" s="38"/>
    </row>
    <row r="12" spans="10:19" ht="63.75">
      <c r="J12" s="319">
        <v>2</v>
      </c>
      <c r="K12" s="323" t="s">
        <v>564</v>
      </c>
      <c r="L12" s="45" t="s">
        <v>568</v>
      </c>
      <c r="M12" s="45" t="s">
        <v>569</v>
      </c>
      <c r="N12" s="319"/>
      <c r="O12" s="319"/>
      <c r="P12" s="319" t="s">
        <v>567</v>
      </c>
      <c r="Q12" s="319"/>
      <c r="R12" s="319"/>
      <c r="S12" s="322"/>
    </row>
    <row r="13" spans="10:19">
      <c r="J13" s="320"/>
      <c r="K13" s="327"/>
      <c r="L13" s="45" t="s">
        <v>570</v>
      </c>
      <c r="M13" s="48" t="s">
        <v>571</v>
      </c>
      <c r="N13" s="320"/>
      <c r="O13" s="320"/>
      <c r="P13" s="320"/>
      <c r="Q13" s="320"/>
      <c r="R13" s="320"/>
      <c r="S13" s="322"/>
    </row>
    <row r="14" spans="10:19">
      <c r="J14" s="320"/>
      <c r="K14" s="327"/>
      <c r="L14" s="46"/>
      <c r="M14" s="48" t="s">
        <v>572</v>
      </c>
      <c r="N14" s="320"/>
      <c r="O14" s="320"/>
      <c r="P14" s="320"/>
      <c r="Q14" s="320"/>
      <c r="R14" s="320"/>
      <c r="S14" s="322"/>
    </row>
    <row r="15" spans="10:19" ht="15.75" thickBot="1">
      <c r="J15" s="321"/>
      <c r="K15" s="324"/>
      <c r="L15" s="47"/>
      <c r="M15" s="49" t="s">
        <v>573</v>
      </c>
      <c r="N15" s="321"/>
      <c r="O15" s="321"/>
      <c r="P15" s="321"/>
      <c r="Q15" s="321"/>
      <c r="R15" s="321"/>
      <c r="S15" s="322"/>
    </row>
    <row r="16" spans="10:19">
      <c r="J16" s="319">
        <v>3</v>
      </c>
      <c r="K16" s="323" t="s">
        <v>574</v>
      </c>
      <c r="L16" s="45" t="s">
        <v>568</v>
      </c>
      <c r="M16" s="325" t="s">
        <v>575</v>
      </c>
      <c r="N16" s="319"/>
      <c r="O16" s="319"/>
      <c r="P16" s="319"/>
      <c r="Q16" s="319" t="s">
        <v>567</v>
      </c>
      <c r="R16" s="319"/>
      <c r="S16" s="322"/>
    </row>
    <row r="17" spans="10:19" ht="15.75" thickBot="1">
      <c r="J17" s="321"/>
      <c r="K17" s="324"/>
      <c r="L17" s="41" t="s">
        <v>576</v>
      </c>
      <c r="M17" s="326"/>
      <c r="N17" s="321"/>
      <c r="O17" s="321"/>
      <c r="P17" s="321"/>
      <c r="Q17" s="321"/>
      <c r="R17" s="321"/>
      <c r="S17" s="322"/>
    </row>
    <row r="18" spans="10:19">
      <c r="J18" s="319">
        <v>4</v>
      </c>
      <c r="K18" s="317" t="s">
        <v>574</v>
      </c>
      <c r="L18" s="45" t="s">
        <v>568</v>
      </c>
      <c r="M18" s="325" t="s">
        <v>577</v>
      </c>
      <c r="N18" s="325"/>
      <c r="O18" s="325" t="s">
        <v>567</v>
      </c>
      <c r="P18" s="319"/>
      <c r="Q18" s="319"/>
      <c r="R18" s="325"/>
      <c r="S18" s="322"/>
    </row>
    <row r="19" spans="10:19" ht="15.75" thickBot="1">
      <c r="J19" s="321"/>
      <c r="K19" s="318"/>
      <c r="L19" s="41" t="s">
        <v>570</v>
      </c>
      <c r="M19" s="326"/>
      <c r="N19" s="326"/>
      <c r="O19" s="326"/>
      <c r="P19" s="321"/>
      <c r="Q19" s="321"/>
      <c r="R19" s="326"/>
      <c r="S19" s="322"/>
    </row>
    <row r="20" spans="10:19">
      <c r="J20" s="44"/>
      <c r="K20" s="317" t="s">
        <v>564</v>
      </c>
      <c r="L20" s="45" t="s">
        <v>578</v>
      </c>
      <c r="M20" s="325" t="s">
        <v>579</v>
      </c>
      <c r="N20" s="319"/>
      <c r="O20" s="319" t="s">
        <v>567</v>
      </c>
      <c r="P20" s="319"/>
      <c r="Q20" s="319"/>
      <c r="R20" s="319"/>
      <c r="S20" s="322"/>
    </row>
    <row r="21" spans="10:19">
      <c r="J21" s="44">
        <v>5</v>
      </c>
      <c r="K21" s="328"/>
      <c r="L21" s="45"/>
      <c r="M21" s="329"/>
      <c r="N21" s="320"/>
      <c r="O21" s="320"/>
      <c r="P21" s="320"/>
      <c r="Q21" s="320"/>
      <c r="R21" s="320"/>
      <c r="S21" s="322"/>
    </row>
    <row r="22" spans="10:19" ht="15.75" thickBot="1">
      <c r="J22" s="39"/>
      <c r="K22" s="318"/>
      <c r="L22" s="41" t="s">
        <v>580</v>
      </c>
      <c r="M22" s="326"/>
      <c r="N22" s="321"/>
      <c r="O22" s="321"/>
      <c r="P22" s="321"/>
      <c r="Q22" s="321"/>
      <c r="R22" s="321"/>
      <c r="S22" s="322"/>
    </row>
    <row r="23" spans="10:19">
      <c r="J23" s="319">
        <v>6</v>
      </c>
      <c r="K23" s="317" t="s">
        <v>581</v>
      </c>
      <c r="L23" s="45" t="s">
        <v>568</v>
      </c>
      <c r="M23" s="325" t="s">
        <v>582</v>
      </c>
      <c r="N23" s="319"/>
      <c r="O23" s="319" t="s">
        <v>567</v>
      </c>
      <c r="P23" s="319"/>
      <c r="Q23" s="319"/>
      <c r="R23" s="325"/>
      <c r="S23" s="322"/>
    </row>
    <row r="24" spans="10:19" ht="15.75" thickBot="1">
      <c r="J24" s="321"/>
      <c r="K24" s="318"/>
      <c r="L24" s="41" t="s">
        <v>583</v>
      </c>
      <c r="M24" s="326"/>
      <c r="N24" s="321"/>
      <c r="O24" s="321"/>
      <c r="P24" s="321"/>
      <c r="Q24" s="321"/>
      <c r="R24" s="326"/>
      <c r="S24" s="322"/>
    </row>
    <row r="25" spans="10:19" ht="20.45" customHeight="1">
      <c r="J25" s="319">
        <v>7</v>
      </c>
      <c r="K25" s="317" t="s">
        <v>564</v>
      </c>
      <c r="L25" s="50" t="s">
        <v>568</v>
      </c>
      <c r="M25" s="325" t="s">
        <v>584</v>
      </c>
      <c r="N25" s="319"/>
      <c r="O25" s="319"/>
      <c r="P25" s="319"/>
      <c r="Q25" s="319" t="s">
        <v>567</v>
      </c>
      <c r="R25" s="319"/>
      <c r="S25" s="322"/>
    </row>
    <row r="26" spans="10:19" ht="15.75" thickBot="1">
      <c r="J26" s="321"/>
      <c r="K26" s="318"/>
      <c r="L26" s="43" t="s">
        <v>585</v>
      </c>
      <c r="M26" s="326"/>
      <c r="N26" s="321"/>
      <c r="O26" s="321"/>
      <c r="P26" s="321"/>
      <c r="Q26" s="321"/>
      <c r="R26" s="321"/>
      <c r="S26" s="322"/>
    </row>
    <row r="27" spans="10:19">
      <c r="J27" s="325">
        <v>8</v>
      </c>
      <c r="K27" s="323" t="s">
        <v>586</v>
      </c>
      <c r="L27" s="45" t="s">
        <v>568</v>
      </c>
      <c r="M27" s="325" t="s">
        <v>587</v>
      </c>
      <c r="N27" s="319"/>
      <c r="O27" s="319"/>
      <c r="P27" s="319" t="s">
        <v>567</v>
      </c>
      <c r="Q27" s="319"/>
      <c r="R27" s="319"/>
      <c r="S27" s="322"/>
    </row>
    <row r="28" spans="10:19" ht="15.75" thickBot="1">
      <c r="J28" s="326"/>
      <c r="K28" s="324"/>
      <c r="L28" s="41" t="s">
        <v>588</v>
      </c>
      <c r="M28" s="326"/>
      <c r="N28" s="321"/>
      <c r="O28" s="321"/>
      <c r="P28" s="321"/>
      <c r="Q28" s="321"/>
      <c r="R28" s="321"/>
      <c r="S28" s="322"/>
    </row>
    <row r="29" spans="10:19">
      <c r="J29" s="319">
        <v>9</v>
      </c>
      <c r="K29" s="317" t="s">
        <v>586</v>
      </c>
      <c r="L29" s="45" t="s">
        <v>568</v>
      </c>
      <c r="M29" s="325" t="s">
        <v>589</v>
      </c>
      <c r="N29" s="319"/>
      <c r="O29" s="319"/>
      <c r="P29" s="319"/>
      <c r="Q29" s="319" t="s">
        <v>567</v>
      </c>
      <c r="R29" s="319"/>
      <c r="S29" s="322"/>
    </row>
    <row r="30" spans="10:19" ht="15.75" thickBot="1">
      <c r="J30" s="321"/>
      <c r="K30" s="318"/>
      <c r="L30" s="41" t="s">
        <v>590</v>
      </c>
      <c r="M30" s="326"/>
      <c r="N30" s="321"/>
      <c r="O30" s="321"/>
      <c r="P30" s="321"/>
      <c r="Q30" s="321"/>
      <c r="R30" s="321"/>
      <c r="S30" s="322"/>
    </row>
    <row r="31" spans="10:19">
      <c r="J31" s="319">
        <v>10</v>
      </c>
      <c r="K31" s="317" t="s">
        <v>586</v>
      </c>
      <c r="L31" s="45" t="s">
        <v>568</v>
      </c>
      <c r="M31" s="325" t="s">
        <v>591</v>
      </c>
      <c r="N31" s="319"/>
      <c r="O31" s="319"/>
      <c r="P31" s="319"/>
      <c r="Q31" s="319" t="s">
        <v>567</v>
      </c>
      <c r="R31" s="319"/>
      <c r="S31" s="322"/>
    </row>
    <row r="32" spans="10:19" ht="15.75" thickBot="1">
      <c r="J32" s="321"/>
      <c r="K32" s="318"/>
      <c r="L32" s="41" t="s">
        <v>590</v>
      </c>
      <c r="M32" s="326"/>
      <c r="N32" s="321"/>
      <c r="O32" s="321"/>
      <c r="P32" s="321"/>
      <c r="Q32" s="321"/>
      <c r="R32" s="321"/>
      <c r="S32" s="322"/>
    </row>
    <row r="33" spans="10:19">
      <c r="J33" s="319">
        <v>11</v>
      </c>
      <c r="K33" s="317" t="s">
        <v>592</v>
      </c>
      <c r="L33" s="45" t="s">
        <v>568</v>
      </c>
      <c r="M33" s="325" t="s">
        <v>593</v>
      </c>
      <c r="N33" s="319"/>
      <c r="O33" s="319"/>
      <c r="P33" s="319"/>
      <c r="Q33" s="319" t="s">
        <v>567</v>
      </c>
      <c r="R33" s="319"/>
      <c r="S33" s="322"/>
    </row>
    <row r="34" spans="10:19" ht="15.75" thickBot="1">
      <c r="J34" s="321"/>
      <c r="K34" s="318"/>
      <c r="L34" s="41" t="s">
        <v>576</v>
      </c>
      <c r="M34" s="326"/>
      <c r="N34" s="321"/>
      <c r="O34" s="321"/>
      <c r="P34" s="321"/>
      <c r="Q34" s="321"/>
      <c r="R34" s="321"/>
      <c r="S34" s="322"/>
    </row>
    <row r="35" spans="10:19" ht="51.75" thickBot="1">
      <c r="J35" s="39">
        <v>12</v>
      </c>
      <c r="K35" s="51" t="s">
        <v>594</v>
      </c>
      <c r="L35" s="41" t="s">
        <v>595</v>
      </c>
      <c r="M35" s="41" t="s">
        <v>596</v>
      </c>
      <c r="N35" s="43"/>
      <c r="O35" s="43"/>
      <c r="P35" s="43" t="s">
        <v>567</v>
      </c>
      <c r="Q35" s="43"/>
      <c r="R35" s="43"/>
      <c r="S35" s="38"/>
    </row>
    <row r="36" spans="10:19">
      <c r="J36" s="319">
        <v>13</v>
      </c>
      <c r="K36" s="317" t="s">
        <v>597</v>
      </c>
      <c r="L36" s="45" t="s">
        <v>568</v>
      </c>
      <c r="M36" s="325" t="s">
        <v>598</v>
      </c>
      <c r="N36" s="319"/>
      <c r="O36" s="319"/>
      <c r="P36" s="319"/>
      <c r="Q36" s="319" t="s">
        <v>567</v>
      </c>
      <c r="R36" s="319"/>
      <c r="S36" s="322"/>
    </row>
    <row r="37" spans="10:19" ht="15.75" thickBot="1">
      <c r="J37" s="321"/>
      <c r="K37" s="318"/>
      <c r="L37" s="41" t="s">
        <v>599</v>
      </c>
      <c r="M37" s="326"/>
      <c r="N37" s="321"/>
      <c r="O37" s="321"/>
      <c r="P37" s="321"/>
      <c r="Q37" s="321"/>
      <c r="R37" s="321"/>
      <c r="S37" s="322"/>
    </row>
    <row r="38" spans="10:19" ht="25.5">
      <c r="J38" s="52" t="s">
        <v>600</v>
      </c>
    </row>
  </sheetData>
  <mergeCells count="107">
    <mergeCell ref="Q36:Q37"/>
    <mergeCell ref="R36:R37"/>
    <mergeCell ref="S36:S37"/>
    <mergeCell ref="J7:R7"/>
    <mergeCell ref="J36:J37"/>
    <mergeCell ref="K36:K37"/>
    <mergeCell ref="M36:M37"/>
    <mergeCell ref="N36:N37"/>
    <mergeCell ref="O36:O37"/>
    <mergeCell ref="P36:P37"/>
    <mergeCell ref="S31:S32"/>
    <mergeCell ref="J33:J34"/>
    <mergeCell ref="K33:K34"/>
    <mergeCell ref="M33:M34"/>
    <mergeCell ref="N33:N34"/>
    <mergeCell ref="O33:O34"/>
    <mergeCell ref="P33:P34"/>
    <mergeCell ref="Q33:Q34"/>
    <mergeCell ref="R33:R34"/>
    <mergeCell ref="S33:S34"/>
    <mergeCell ref="R29:R30"/>
    <mergeCell ref="S29:S30"/>
    <mergeCell ref="J31:J32"/>
    <mergeCell ref="K31:K32"/>
    <mergeCell ref="M31:M32"/>
    <mergeCell ref="N31:N32"/>
    <mergeCell ref="O31:O32"/>
    <mergeCell ref="P31:P32"/>
    <mergeCell ref="Q31:Q32"/>
    <mergeCell ref="R31:R32"/>
    <mergeCell ref="Q27:Q28"/>
    <mergeCell ref="R27:R28"/>
    <mergeCell ref="S27:S28"/>
    <mergeCell ref="J29:J30"/>
    <mergeCell ref="K29:K30"/>
    <mergeCell ref="M29:M30"/>
    <mergeCell ref="N29:N30"/>
    <mergeCell ref="O29:O30"/>
    <mergeCell ref="P29:P30"/>
    <mergeCell ref="Q29:Q30"/>
    <mergeCell ref="J27:J28"/>
    <mergeCell ref="K27:K28"/>
    <mergeCell ref="M27:M28"/>
    <mergeCell ref="N27:N28"/>
    <mergeCell ref="O27:O28"/>
    <mergeCell ref="P27:P28"/>
    <mergeCell ref="J25:J26"/>
    <mergeCell ref="K25:K26"/>
    <mergeCell ref="M25:M26"/>
    <mergeCell ref="N25:N26"/>
    <mergeCell ref="O25:O26"/>
    <mergeCell ref="P25:P26"/>
    <mergeCell ref="Q25:Q26"/>
    <mergeCell ref="R25:R26"/>
    <mergeCell ref="S25:S26"/>
    <mergeCell ref="R20:R22"/>
    <mergeCell ref="S20:S22"/>
    <mergeCell ref="J23:J24"/>
    <mergeCell ref="K23:K24"/>
    <mergeCell ref="M23:M24"/>
    <mergeCell ref="N23:N24"/>
    <mergeCell ref="O23:O24"/>
    <mergeCell ref="P23:P24"/>
    <mergeCell ref="Q23:Q24"/>
    <mergeCell ref="R23:R24"/>
    <mergeCell ref="K20:K22"/>
    <mergeCell ref="M20:M22"/>
    <mergeCell ref="N20:N22"/>
    <mergeCell ref="O20:O22"/>
    <mergeCell ref="P20:P22"/>
    <mergeCell ref="Q20:Q22"/>
    <mergeCell ref="S23:S24"/>
    <mergeCell ref="J18:J19"/>
    <mergeCell ref="K18:K19"/>
    <mergeCell ref="M18:M19"/>
    <mergeCell ref="N18:N19"/>
    <mergeCell ref="O18:O19"/>
    <mergeCell ref="P18:P19"/>
    <mergeCell ref="Q18:Q19"/>
    <mergeCell ref="R18:R19"/>
    <mergeCell ref="S18:S19"/>
    <mergeCell ref="R12:R15"/>
    <mergeCell ref="S12:S15"/>
    <mergeCell ref="J16:J17"/>
    <mergeCell ref="K16:K17"/>
    <mergeCell ref="M16:M17"/>
    <mergeCell ref="N16:N17"/>
    <mergeCell ref="O16:O17"/>
    <mergeCell ref="P16:P17"/>
    <mergeCell ref="Q16:Q17"/>
    <mergeCell ref="R16:R17"/>
    <mergeCell ref="J12:J15"/>
    <mergeCell ref="K12:K15"/>
    <mergeCell ref="N12:N15"/>
    <mergeCell ref="O12:O15"/>
    <mergeCell ref="P12:P15"/>
    <mergeCell ref="Q12:Q15"/>
    <mergeCell ref="S16:S17"/>
    <mergeCell ref="J8:J10"/>
    <mergeCell ref="K8:K10"/>
    <mergeCell ref="L8:L10"/>
    <mergeCell ref="M8:M10"/>
    <mergeCell ref="N8:Q8"/>
    <mergeCell ref="N9:N10"/>
    <mergeCell ref="O9:O10"/>
    <mergeCell ref="P9:P10"/>
    <mergeCell ref="Q9:Q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8C7141AF1BF4848AE76248E6451E8DA" ma:contentTypeVersion="0" ma:contentTypeDescription="Create a new document." ma:contentTypeScope="" ma:versionID="8e011fd83f56f474e4b9d43343ed3bed">
  <xsd:schema xmlns:xsd="http://www.w3.org/2001/XMLSchema" xmlns:xs="http://www.w3.org/2001/XMLSchema" xmlns:p="http://schemas.microsoft.com/office/2006/metadata/properties" targetNamespace="http://schemas.microsoft.com/office/2006/metadata/properties" ma:root="true" ma:fieldsID="b84c390a07b92f3072bc78982b6f0c3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5F979B-D369-438E-8AC3-44E35A94EFC5}"/>
</file>

<file path=customXml/itemProps2.xml><?xml version="1.0" encoding="utf-8"?>
<ds:datastoreItem xmlns:ds="http://schemas.openxmlformats.org/officeDocument/2006/customXml" ds:itemID="{957F9F76-96E6-4FB9-A93D-7B854BACCCA4}"/>
</file>

<file path=customXml/itemProps3.xml><?xml version="1.0" encoding="utf-8"?>
<ds:datastoreItem xmlns:ds="http://schemas.openxmlformats.org/officeDocument/2006/customXml" ds:itemID="{D8D42BE9-F4F6-4789-AE08-428002683A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Shaju Chacko</dc:creator>
  <cp:keywords/>
  <dc:description/>
  <cp:lastModifiedBy>Shaju Chacko</cp:lastModifiedBy>
  <cp:revision>0</cp:revision>
  <dcterms:created xsi:type="dcterms:W3CDTF">2023-03-27T04:39:14Z</dcterms:created>
  <dcterms:modified xsi:type="dcterms:W3CDTF">2025-12-16T06:16:57Z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0x01010018C7141AF1BF4848AE76248E6451E8DA</vt:lpwstr>
  </property>
  <property fmtid="{D5CDD505-2E9C-101B-9397-08002B2CF9AE}" pid="3" name="MediaServiceImageTags">
    <vt:lpwstr/>
  </property>
</Properties>
</file>